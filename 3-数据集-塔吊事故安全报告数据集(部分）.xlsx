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780" windowHeight="117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<sst xmlns="http://schemas.openxmlformats.org/spreadsheetml/2006/main" count="226" uniqueCount="225">
  <si>
    <t>塔吊事故类别/事故地点</t>
  </si>
  <si>
    <t>塔吊事故报告网址链接</t>
  </si>
  <si>
    <t>事故经过及概况</t>
  </si>
  <si>
    <t>时间</t>
  </si>
  <si>
    <t>所提取关键字：</t>
  </si>
  <si>
    <t>力矩限制器失调</t>
  </si>
  <si>
    <t>变幅机构制动器失灵导致变幅小车失灵</t>
  </si>
  <si>
    <t>捆绑塔臂的钢丝绳断裂</t>
  </si>
  <si>
    <t>钢筋等货物捆绑受力不均而脱落</t>
  </si>
  <si>
    <t>塔机连接销轴未全部安装</t>
  </si>
  <si>
    <t>施工作业垂直交叉作业未控制</t>
  </si>
  <si>
    <t>违法拆、装导致安全装置失灵</t>
  </si>
  <si>
    <t>脚手架钢管脱落</t>
  </si>
  <si>
    <t>塔吊前后臂力矩不平衡</t>
  </si>
  <si>
    <t>上下两端的销钉孔未锁住固定</t>
  </si>
  <si>
    <t>平衡臂断裂,远端向下严重倾斜</t>
  </si>
  <si>
    <t>焊接质量不合格</t>
  </si>
  <si>
    <t>塔身底部主肢疲劳和断裂</t>
  </si>
  <si>
    <t>标准节钢材疲劳</t>
  </si>
  <si>
    <t>离合器吸合性较差</t>
  </si>
  <si>
    <t>抗风能力不足</t>
  </si>
  <si>
    <t>标准节间连接不规范</t>
  </si>
  <si>
    <t>自由高度过高</t>
  </si>
  <si>
    <t>吊臂回转装置失灵</t>
  </si>
  <si>
    <t>基础抗倾覆能力不足</t>
  </si>
  <si>
    <t>高大支模的立杆间距过大</t>
  </si>
  <si>
    <t>顶升踏步的动荷载过大</t>
  </si>
  <si>
    <t>单一文本中出现过的关键词数</t>
  </si>
  <si>
    <t>【机械伤害】塔吊折臂事故分析</t>
  </si>
  <si>
    <t>http://www.safehoo.com/Case/Case/Machine/201912/1585015.shtml</t>
  </si>
  <si>
    <t>(1)塔吊所吊两块钢模板(重5t以上)坠落在塔吊东南方向的工地围墙外距塔吊中心线49.85m处。(2)塔头四根主弦杆拉断三根,其中,靠塔吊起重臂方向的两根主弦杆均被拉断。由于塔头主弦杆折断失去支点作用,吊拉起重臂、平衡臂的拉杆也失去吊拉作用,致使起重臂、平衡臂以塔头为轴向下坠落。起重臂砸在建筑物上严重扭曲变形,平衡臂砸在塔身上严重损坏。
(3)变幅小车停在起重臂端部,变幅绳断开。</t>
  </si>
  <si>
    <t>2019/12/2 22:18:46</t>
  </si>
  <si>
    <t>（若在文档中出现则计为1，表示“该结构问题发生一次”）</t>
  </si>
  <si>
    <t>【起重伤害】塔吊伤人事故</t>
  </si>
  <si>
    <t>http://www.safehoo.com/Case/Case/Crane/201305/312796.shtml</t>
  </si>
  <si>
    <t>在某工程A标工地上，据工长安排浇灌班组到5号楼清理屋面上的木板、条子、钢管、杂屑等零星材料。组长葛某安排工作人员倪某前去清理，倪某与屋面后开始将零星材料分类堆放,司时利用塔吊进行吊装。第四吊是钢管，操作者为方便挂钩，将钢管堆放在屋面上原有的专门堆放短钢管的钢管架子上，用吊索钢丝绳从钢管家子底部穿上来连接，连接完后，即指挥司机刘某先行试吊，但刘在看不清吊物、且没有按响警铃情况下突然起吊，并向左旋转了大约100度，使吊臂处于3号楼外脚手架外侧。由于钢管捆绑松散，指挥朱某虽喊叫示警，但仍击中两人，导致两人死亡。</t>
  </si>
  <si>
    <t>2013/5/20 13:30:59</t>
  </si>
  <si>
    <t>【起重伤害】某工地塔吊倾覆事故</t>
  </si>
  <si>
    <t>http://www.safehoo.com/Case/Case/Crane/201101/164717.shtml</t>
  </si>
  <si>
    <t>塔吊在顶升作业过程中，因指挥人员违章指挥操作变幅小车，操作人员在指挥人员的指挥下，违章操作变幅小车，调整吊臂平衡，使塔吊平衡失稳，导致塔吊吊臂、操作平台整体倾翻，从55m高处坠落，在塔上2名操作人员随塔吊吊臂一起坠落，当场死亡。在地面作业的2名工人也被坠落的塔臂当场砸死。塔吊司机在塔臂倾覆瞬间从驾驶室跳至塔身扶墙处，手臂折断。直接经济损失80余万元。</t>
  </si>
  <si>
    <t>2011/1/2 23:59:42</t>
  </si>
  <si>
    <t>【起重伤害】北京塔吊倾覆玩忽职守案</t>
  </si>
  <si>
    <t>http://www.safehoo.com/Case/Case/Crane/200810/4153.shtml</t>
  </si>
  <si>
    <t>北京市朝阳区五路居工地上的一台塔品遇风倾覆报废，直接经济损失22.09万元。9月23日，王某二负责本公司两个塔吊拆装班的工作。同年10月14日，王某二决定拆除五路居工地上配合42号楼施工的QT-80型012号塔吊的第2道和第3道附着装置(锚固)。王某一得知后，未对王某二在拆除作业中的安全等问题提出任何要求。10月16日，012号塔吊投停后，王某某安排拆装人员将012号塔的第3道、第2道附着装置相继拆除。拆除后未按规定及时落塔节，使该塔第一道附着装置距塔身与塔臂交点达48.6米，严重违反了该塔吊使用技术规范所要求不得超过27米的规定。而王某一、王某二却对此视而不见，不管不问。同年12月25日，该公司劳保科负责人向王某二汇报了012号塔的险况，26日上级公司安全检查部门在该公司召开的安全检查汇报会上，又明确向王某二提出塔吊的险况问题，指出:五路居工地012号塔拆了两道附着装置，没落塔节，放了两个多月之久，处于危险状态应赶紧落节，或采取措施。被告人王某二对此竟置若罔闻，致使该塔品于1986年1月3日8时遇风倾覆报废，造成直接经济损失22.09万元。</t>
  </si>
  <si>
    <t>2008/10/5 11:35:53</t>
  </si>
  <si>
    <t>【起重伤害】塔吊安装倾覆事故案例</t>
  </si>
  <si>
    <t>http://www.safehoo.com/Case/Case/Crane/201112/254787.shtml</t>
  </si>
  <si>
    <t>12月3日，周某等人开始安装塔吊，下午将回转塔架以下的底架及基础节安装好。12月4日7时，周某带领周弟严某，权某等4人与请来的一台汽车吊一同配合继续安装塔吊。严某、周弟在塔吊上安装周某、权某在下面配合，汽车吊负责吊装部件。首先吊装了回转塔架，由在回转塔架上严某、周弟二人先将回转塔架下支座底部外圈与顶升套架的上部用螺栓连好，违反相关要求未将回转塔架下支座底部内圈与塔身标准节顶部用螺栓连接;第二步又吊装了塔顶，第三步，吊装了平衡臂，第四步，吊装了平衡块并安装在平衡臂上。为了方便安装起重臂，周某、权某2人在地上试着用绳子拉动平衡臂向东侧转个角度，2人未能拉动。周某指挥，权某将塔品旋转部分的电源接到离塔品北侧约50米另一台塔品电源上，并根据周某和周弟的指挥，开关电源使平衡臂间歇转动。11时15分左右，在平衡臂转动过程中，回转塔、平衡臂及塔顶向东侧倾翻，站在塔吊上的周弟、严某从12米左右高处坠落。周弟经送医院抢救无效死亡。严某坠落后受伤。</t>
  </si>
  <si>
    <t>2011/12/10 12:04:51</t>
  </si>
  <si>
    <t>【起重伤害】违章安装塔吊折断事故</t>
  </si>
  <si>
    <t>http://www.safehoo.com/Case/Case/Crane/201011/157134.shtml</t>
  </si>
  <si>
    <t>10月31日上午9时左右，该塔吊开始进行安装。晚上18时，塔身升高达12m后，开始安装平衡臂及其配重。晚上20时，4名安装工在平衡臂尾端作业，第2块配重刚安装完毕，当准备安装第3块配重时，该塔吊突然从回转机构与顶升套架联接处折断，塔顶、平衡臂、2t配重、拉杆及这四名安装工同时坠落，造成设备损坏，两名安装工当场死亡，另外两名安装工重伤的重大事故。</t>
  </si>
  <si>
    <t>2010/11/13 15:55:57</t>
  </si>
  <si>
    <t>【起重伤害】塔吊作业木方坠落事件</t>
  </si>
  <si>
    <t>http://www.safehoo.com/Case/Case/Crane/201103/175238.shtml</t>
  </si>
  <si>
    <t>某木工在堆放好方木并绑扎后，指挥工指挥2#塔吊起吊，当起钩离地10CM后，指挥共指挥木工对吊钩进行敲打紧固，禁固后指挥工没有发现吊物底部有一根方木的一头已经脱落，指挥工继续指挥塔吊起吊，当大臂转到BX楼东侧时候下钩，当吊钩下钩三米时，底部一根方木从里BX楼施工板面七米多高的空中坠落到BX楼东侧施工层板面，幸而无人员伤亡。</t>
  </si>
  <si>
    <t>2011/3/20 15:20:19</t>
  </si>
  <si>
    <t>【起重伤害】一起塔吊倾倒事故分析</t>
  </si>
  <si>
    <t>http://www.safehoo.com/Case/Case/Crane/201101/165301.shtml</t>
  </si>
  <si>
    <t>某厂机修车间已竣工清理，QT16缆风绳塔吊需拆卸。该工地项目经理分包给社会上无起重机械拆卸资质，拆卸人员无特种作业上岗证的队伍拆卸，工地用50T汽车品协助拆卸。他们在拆卸前，未制订拆卸方案，连缆风绳地锚也未检查，就匆匆爬上塔吊拆起来。当汽车吊把前臂吊起，操作工打掉前臂与塔顶的2个联接销子后，塔吊拉地锚，后臂和塔身向后臂方向倾倒(此时，前臂被汽车吊吊起，与塔身分离)，上面3名拆卸工随之坠落。当时5人摔伤，被急速送医院抢救。</t>
  </si>
  <si>
    <t>2011/1/6 22:56:10</t>
  </si>
  <si>
    <t>【起重伤害】塔吊司机违章作业事故案例</t>
  </si>
  <si>
    <t>http://www.safehoo.com/Case/Case/Crane/201202/260159.shtml</t>
  </si>
  <si>
    <t>在高新区枫叶新都市B区5号楼工程施工时，塔吊在顶升作业过程中，因指挥人员违章指挥操作变幅小车，操作人员在指挥人员的指挥下，违章操作变幅小车，调整吊臂平衡，使塔吊平衡失稳，导致塔吊吊臂、操作平台整体倾翻，从55m高处坠落，在塔上2名操作人员随塔吊吊臂一起坠落，当场死亡。在地面作业的2名工人也被坠落的塔臂当场砸死。塔品司机在塔臂倾覆瞬间从驾驶室跳至塔身扶墙处,手臂折断。直接经济损失80余万元。</t>
  </si>
  <si>
    <t>2012/2/6 16:10:07</t>
  </si>
  <si>
    <t>【起重伤害】大亚湾核电站塔吊倒塌重大责任事故案</t>
  </si>
  <si>
    <t>http://www.safehoo.com/Case/Case/Crane/200810/4154.shtml</t>
  </si>
  <si>
    <t>11月初，中国建筑第二工程局(深圳)一公司机械加工队，承拉广东省大亚湾核电站部分塔吊安装工程，由武某某负责具体安装指挥。1月13日上午，十号塔吊的前后臂和配重块以及主要部件已基本安装完毕。塔吊回转以上部分未与塔身连接，靠爬身套架支撑，塔吊处于顶升准备状态。为安装平台围栏接板，武某某违反塔吊不准斜吊的规定，叫起重工王某某弟指挥用配合安装的九号塔吊牵引十号塔吊前臂转动，致使十号塔吊套架处弯折，向南倒塌。拴在前臂上的九号塔吊钢丝绳被拉断。站在前臂端的起重工王某某随前臂倒塌被砸死，平台上的电气技术员索某某被摔死，塔基南面的起重工杜某某被配重块压死，路过现场的职工方某某被砸断腿，正在塔上安装的工人胡某某等四人随塔吊倒下受轻伤，九号塔吊司机田某某因钢丝绳被拉断而受伤，直接经济损失76万余元。</t>
  </si>
  <si>
    <t>、</t>
  </si>
  <si>
    <t>【起重伤害】南京玄武玄盛NO.2021G24 C地块“8•20”较大起重伤害事故调查报告</t>
  </si>
  <si>
    <t>https://safety.nanjing.gov.cn/njsaqscjdglj/202311/t20231101_4045370.html</t>
  </si>
  <si>
    <t>2022年8月20日上午6时，塔机安装班组（周某、吉某、王某甲、梁某某、张某丙、黎某某）陆续到达施工现场，当天的工作任务是完成G24C地块1#塔机的安装作业。班组长周某安排吉某与他配合在地面完成塔机标准件拼装任务，王某甲担任电工和塔机司机，梁某某带领张某丙、黎某某负责塔机安装。6时20分，安装拆卸工梁某某在工作微信群中上传一张过渡节销轴无法安装的照片，现场负责人朱某某在看到照片后，现场确认了过渡节安装方向，并要求梁某某使用工作销代替销轴，实际上工作销也未安装。15时左右，安装人员午饭后返回现场，在过渡节销轴仍未安装的情况下，又继续安装了后平衡臂和一块配重。16时20分左右，司机王某甲在驾驶室内操作塔机，梁某某、张某丙、黎某某站在塔机平衡臂上，王某甲操作塔机，意图将起重臂第一节转至朝南，安装其余的起重臂节，当平衡臂转向塔机基础西南方位时，过渡节与预埋支腿连接处发生断裂，塔机在回转过程中倾覆，塔机上的四名工人随即坠落。现场人员立即拨打报警电话，120医护人员到达现场时，梁某某和黎某某已无生命体征，张某丙和王某甲被送医救治，张某丙后经抢救无效死亡，王某甲经救治已康复出院。</t>
  </si>
  <si>
    <t>【高处坠落】山东省龙口市某建筑公司塔吊倾倒事故</t>
  </si>
  <si>
    <t>http://www.safehoo.com/Case/Case/Drop/201001/38645.shtml</t>
  </si>
  <si>
    <t>9月23日7时15分，山东省龙口市某建筑公司在前宋电厂施工过程中，发生塔吊倾倒事故，造成4人死亡。
9月23日7时15分，塔吊司机柳某和刘某争开塔品，在未把吊钩起升到一定高度脱离障碍物的情况下，即操纵吊臂右转向，致使吊钩挂住脚手架，造成塔吊东南方向地锚钩拉直，西南方向钢丝绳拉脱，塔吊向东北方向倾倒，在塔吊上的两名操作工当场摔死，正在东墙北楼处施工的两名工人被吊臂砸伤,经抢救无效死亡。</t>
  </si>
  <si>
    <t>2010/1/17 20:16:37</t>
  </si>
  <si>
    <t>【高处坠落】塔吊钢丝绳断落事故调查报告</t>
  </si>
  <si>
    <t>http://www.safehoo.com/Case/Case/Drop/201612/467384.shtml</t>
  </si>
  <si>
    <t>陕西省榆林市胜租建筑工程有限公司的托管的QTZ63塔式起重机械西头号塔吊在榆林石油大厦工程施工时，当塔吊臂转到B1区基础承台西侧1米处，小车钢丝绳突然发生断落事件。</t>
  </si>
  <si>
    <t>2016/12/19 13:10:20</t>
  </si>
  <si>
    <t>【起重伤害】违章拆卸 塔吊倒塌人伤亡</t>
  </si>
  <si>
    <t>http://www.safehoo.com/Case/Case/Crane/201101/164721.shtml</t>
  </si>
  <si>
    <t>某建工集团分公司承建的某工地上,该分公司的一台10t塔吊正在进行拆除作业,指挥人员 Q某在指挥施工人员将顶升套架顶起然后拆卸标准节的过程中,发现作业场地内没有空间放置即将拆卸完毕的标准节。为将占用场地的设备挪开,Q某指挥停止顶升,让拆除人员将塔吊四面和塔臂用钢丝绳加西后,便指挥塔吊司机L某开始起吊大约6t左右的设备,当设备起升到2m左右时,塔吊突然发生倾倒,Q某当场被砸死,司机L某因坠落受重伤,送至医院抢救无救死亡。塔吊倒地同时将正在塔吊上对其进行每月例行维修的4名修理工摔伤。</t>
  </si>
  <si>
    <t>2011/1/3 0:11:26</t>
  </si>
  <si>
    <t>【高处坠落】北京市京西宾馆塔吊倾覆重大责任事故</t>
  </si>
  <si>
    <t>http://www.safehoo.com/Case/Case/Drop/201001/38566.shtml</t>
  </si>
  <si>
    <t>5月12日，北京市京西宾馆工地上，一台FO/23B塔吊倾覆折落，司机朱某某、电工马某某当场死亡，塔吊平衡臂和起重臂等机件报废，直接经济损失2.75万元。</t>
  </si>
  <si>
    <t>2010/1/17 11:18:14</t>
  </si>
  <si>
    <t>【起重伤害】调换塔吊电机时绳索脱落事故</t>
  </si>
  <si>
    <t>http://www.safehoo.com/Case/Case/Crane/201303/307127.shtml</t>
  </si>
  <si>
    <t>X住宅楼，建筑面积41500m2，剪力墙31层。因工地上FO/23B塔式起重机的两台提升电机损坏，需拆卸下来送厂家更换。1994年4月5日上午，由队长龚XX布置、工长李XX组织实施，安排机修、塔吊装拆工及从事过起重作业的木工等人员把提升电机从塔吊平衡臂上拆卸下来。经分工，机修工和装拆工各2人在平衡臂上拆卸，木工 6人(其中抽调正副组长4人)在地面配合，做辅助工。吊卸方法是:利用塔吊上维修用桅杆，通过地面卷扬机将电机吊卸至地面。拆卸过程中，第一只电机吊卸前，钢丝绳绳头与纱绳引索的接头由唐XX处理:用8号铁丝绑扎钢筋棒拧紧。第一只电机顺利吊卸至地面后，第二只电机吊卸前，两中站在平衡臂上等候卸电机的倪XX(死者，男，41岁，塔吊装拆工)所戴的安全帽及倪XX的颈部。倪XX当即昏迷倒在他人身上。事发后，倪被立即送至医院抢救，终因颈椎脱位，抢救无效，于12时30分死亡。</t>
  </si>
  <si>
    <t>2013/3/20 15:03:49</t>
  </si>
  <si>
    <t>【高处坠落】塔吊坠落事故的分析及启示</t>
  </si>
  <si>
    <t>http://www.safehoo.com/Case/Case/Drop/201206/273853.shtml</t>
  </si>
  <si>
    <t>高层建筑施工中，塔吊是必不可少的机械，而塔吊在使用、维修和管理过程中成为塔吊施工的一个热点、难点，更是安全事故多发环节，尤其是在冬夏两季，事故发生率高的情况下，更应该广泛引起设计、施工、监理等部门的高度重视，下面用一个工程案例说明影响塔吊施工安全的主要因素和对我们进行安全控制所产生的广东省云浮市某中学高中校区某施工段工程施工中，某施工单位委派...</t>
  </si>
  <si>
    <t>2012/6/6 14:09:47</t>
  </si>
  <si>
    <t>【起重伤害】无知违章操作 塔吊机毁人亡</t>
  </si>
  <si>
    <t>http://www.safehoo.com/Case/Case/Crane/200810/4160.shtml</t>
  </si>
  <si>
    <t>1995年6月20日21点45分，某建筑公司12建筑队在怡采三区4号住宅楼工地施工中，台正在吊运混凝土作业的35米高的QTK25塔式起重机，当操作者将原混凝土吊运每次一盘一吊改为两盘一吊时，这台起重机突然向北倾翻，操作者罗某从塔吊驾驶室内摔出，头部受伤严重，经急送医院抢救无效于次日凌晨3时死亡。这起事故还造成价值25万元的设备报废。</t>
  </si>
  <si>
    <t>2008/10/5 11:35:54</t>
  </si>
  <si>
    <t>【起重伤害】两起塔吊事故案例分析</t>
  </si>
  <si>
    <t>http://www.safehoo.com/Case/Case/Crane/201011/158419.shtml</t>
  </si>
  <si>
    <t>案例一: 2001年6月18日，新疆奎屯市建设公司第八项日部，在一栋住宅楼施工时，使用了一台200kN.m塔吊。塔吊当时在建筑物五楼顶，吊臂位于西南位置，吊物为垃圾(当时无法知道吊物的确定重量)，工作幅度为23.6m。从塔机说明书特性曲线表可査出在23.6m处可吊重0.82t，事故发生后称吊物重0.84t，超重0.02t(20kg)就发生倒塌事故，幸未导致人员伤亡。</t>
  </si>
  <si>
    <t>2010/11/23 0:10:33</t>
  </si>
  <si>
    <t>【起重伤害】违反安装规程导致塔吊倾覆事故</t>
  </si>
  <si>
    <t>http://www.safehoo.com/Case/Case/Crane/200912/34521.shtml</t>
  </si>
  <si>
    <t>1987年,某工地上一台F0/23B 塔吊倾覆折落,司机Z某、电工M某当场死亡,塔吊平衡臂和起重臂等机件报废。</t>
  </si>
  <si>
    <t>2009/12/16 9:47:39</t>
  </si>
  <si>
    <t>【起重伤害】一起建筑塔吊倒塌事故案例剖析</t>
  </si>
  <si>
    <t>http://www.safehoo.com/Case/Case/Crane/201201/257795.shtml</t>
  </si>
  <si>
    <t>2008年10月10日，某市建筑安装有限公司刘家村施工工地发生一起建筑塔吊倒塌事故，造成相邻幼儿园5名儿童遇难，2名儿童重伤，1名塔吊司机轻伤，直接经济损失约300万元。</t>
  </si>
  <si>
    <t>2012/1/7 16:07:14</t>
  </si>
  <si>
    <t>【起重伤害】违章拆卸塔吊的倒塌事故</t>
  </si>
  <si>
    <t>http://www.safehoo.com/Case/Case/Crane/200908/27761.shtml</t>
  </si>
  <si>
    <t>2004年,某建工集团分公司承建的某工地上,该分公司的一台10t塔吊正在进行拆除作业,指挥人员 Q某在指挥施工人员将顶升套架顶起然后拆卸标准节的过程中,发现作业场地内没有空间放置即将拆卸完毕的标准节。为将占用场地的设备挪开,Q某指挥停止顶升,让拆除人员将塔品四面和塔臂用钢丝绳加固后,便指挥塔品司机L某开始起品大约6t左右的设备,当设备起升到2m左右时,塔吊突然发生倾倒,Q某当场被砸死,司机L某因坠落受重伤,送至医院抢救无救死亡。塔吊倒地同时将正在塔吊上对其进行每月例行维修的4名修理工摔伤。</t>
  </si>
  <si>
    <t>2009/8/13 16:55:51</t>
  </si>
  <si>
    <t>【起重伤害】更换塔吊钢丝绳导致葫芦坠落事故</t>
  </si>
  <si>
    <t>http://www.safehoo.com/Case/Case/Crane/201303/307130.shtml</t>
  </si>
  <si>
    <t>某综合楼，建筑面积3177m2，框架7层。某年10月18日上午10时30分，持证塔吊工发现塔机起重的钢丝绳断了一股，即向工地项目经理汇报，公司即通知设备科，并安排吴XX、徐XX找同在该工地的塔吊工左XX、高XX帮助换钢丝绳。中午12时，吴、徐二人开始更换钢丝绳的作业，通过塔吊将新钢丝绳吊至塔吊平台，先将一端固定在塔吊卷扬机滚筒上，另一端按常规从葫芦中穿好后固定在塔机的...</t>
  </si>
  <si>
    <t>2013/3/20 15:06:37</t>
  </si>
  <si>
    <t>【机械伤害】一起塔吊事故的分析与思考</t>
  </si>
  <si>
    <t>http://www.safehoo.com/Case/Case/Machine/200805/14024.shtml</t>
  </si>
  <si>
    <t>2001年6月19日,南京某工地发生了一起塔吊设备事故。该塔机在吊重物下降的过程中，吊物突然趣速下坠，同时卷扬机部件碎裂，几十块碎片散落四周，其中...。塔机为 QTZ80P内抓塔吊，1994年8月出厂，至今已使用了七个工地。在本工程中安装于电梯井内（见图1），高度约200m，臂长40m。当时正从大楼165m高的平台吊一捆重约3吨的钢管，幅度约30m...</t>
  </si>
  <si>
    <t>2008/5/14 20:19:51</t>
  </si>
  <si>
    <t>【坍塌事故】大连风暴潮塔吊倒塌破坏原因分析</t>
  </si>
  <si>
    <t>http://www.safehoo.com/Case/Case/Collapse/201101/168009.shtml</t>
  </si>
  <si>
    <t>2007年3月4日晚，大连遭遇罕见的风暴潮袭击。本次风暴潮共造成市区建筑工程现场的8台塔吊和4台物料提升机倒塌。3台塔吊起重臂折断，直接经济损失约700余万元。特别是3月5日凌晨，一续建工程的近百米高的塔吊倒塌，造成工地周边建筑物的毁坏和人员伤亡，严重影响了周边居民的生活安全。塔吊倒塌相比其他施工机械设备损失经济价值高，危险性大，社会影响大。为吸取教训，总结经验，我们进行了塔吊抗风破坏倒塌情况...</t>
  </si>
  <si>
    <t>2011/1/25 23:50:28</t>
  </si>
  <si>
    <t>【起重伤害】塔基缺陷导致塔吊倾翻事故</t>
  </si>
  <si>
    <t>http://www.safehoo.com/Case/Case/Crane/201012/162056.shtml</t>
  </si>
  <si>
    <t>基本断裂，塔机运转过程中当倾翻力矩大于平衡力矩时，受损的杆弦杆安全系数降低，超过设计的许用应力致使塔机倾翻。 
[NextPage]
　　三、事故应汲取的教训
　　这是一起因塔吊钢结构存在缺陷、塔基设计、安装不符合安全规范造成的塔吊倾翻事故。从事故中应汲取以下教训：
　　（1）塔吊倾翻事故是操作人员经常性地违章操作的必然结果。从调查结果可知，塔机在事故发生的同年曾两次进行 ，吊拔起重量或...</t>
  </si>
  <si>
    <t>2010/12/15 20:57:00</t>
  </si>
  <si>
    <t>【起重伤害】塔吊司机违章作业事故案例分析</t>
  </si>
  <si>
    <t>http://www.safehoo.com/Case/Case/Crane/201105/184173.shtml</t>
  </si>
  <si>
    <t>2002年11月18日13：35，在高新区枫叶新都市B区5号楼工程施工时，塔吊在顶升作业过程中，因指挥人员违章指挥操作变幅小车，操作人员在指挥人员的指挥下，违章操作变幅小车，调整吊臂平衡，使塔吊平衡失稳，导致塔吊吊臂、操作平台整体倾翻，从55m高处坠落，在塔上2名操作人员随塔吊吊臂一起坠落，当场死亡。在地面作业的2名工人也被坠落的塔臂当场砸死。塔吊司机在塔臂倾覆瞬间从驾驶室...</t>
  </si>
  <si>
    <t>2011/5/19 0:00:46</t>
  </si>
  <si>
    <t>【坍塌事故】重庆市万州区“06.21”塔吊倒塌事故</t>
  </si>
  <si>
    <t>http://www.safehoo.com/Case/Case/Collapse/201812/1546059.shtml</t>
  </si>
  <si>
    <t>2007年6月21日，位于重庆市万州工业园区在建的移民就业基地标准厂房c幢工程，发生了一起塔吊倒塌事故，造成4人死亡、2人重伤。该工程建筑面积15806...签订了塔吊租赁合同，合同中有塔吊安装、拆除等内容。塔吊安装完毕后没有经有关部门验收和备案登记，就了6月3日投入使用。因该工地所使用的两台塔吊安装高度接近，运行中相互发生干扰。劳务队队长指派4人对塔吊进行...</t>
  </si>
  <si>
    <t>2018/12/6 22:03:13</t>
  </si>
  <si>
    <t>【起重伤害】无资质单位违章拆卸塔吊的倒塌事故</t>
  </si>
  <si>
    <t>http://www.safehoo.com/Case/Case/Crane/200908/28102.shtml</t>
  </si>
  <si>
    <t>2004年,某建工集团分公司承建的某工地上,该分公司的一台l0t塔吊正在进行拆除作业,指挥人员 Q某在指挥施工人员将顶升套架顶起然后拆卸标准节的过程中,发现作业场地内没有空间放置即将拆卸完毕的标准节。为将占用场地的设备挪开,Q某指挥停止顶升,让拆除人员将塔吊四面和塔臂用钢丝绳加固后,便指挥塔吊司机L某开始起吊大约6t左右的设备,当设备起升到2m左右时,塔吊突然发生倾倒,Q某...</t>
  </si>
  <si>
    <t>2009/8/19 17:47:49</t>
  </si>
  <si>
    <t>【坍塌事故】云南省文山州“03.17”塔吊倒塌事故</t>
  </si>
  <si>
    <t>http://www.safehoo.com/Case/Case/Collapse/201812/1546066.shtml</t>
  </si>
  <si>
    <t>2006年3月17日，云南省文山州砚山县的新兴水泥公司建设工程施工现场在塔吊顶升作业的过程中，发生一起塔吊倒塌事故，造成6人死亡，直接经济损失160万元。该工程为新型于法水泥熟料生产线技改项目，总投资26353万元。工程施工中使用和引发事故的塔机其出租单位是云南某机械设备公司，安装单位是昆明某建设工程公司。当日早上，负责塔吊顶升工作的机长...</t>
  </si>
  <si>
    <t>2018/12/6 22:05:49</t>
  </si>
  <si>
    <t>【起重伤害】一起焦碳塔吊装工程事故</t>
  </si>
  <si>
    <t>http://www.safehoo.com/Case/Case/Crane/200904/24858.shtml</t>
  </si>
  <si>
    <t>2002年3月15日，在上海某设备安装二分公司承建以及某安装检修公司、某市政公司分包的高桥某工地上，实施延迟焦化装置－焦碳塔的吊装工程的施工作业。焦碳塔总重量为：261．749t...</t>
  </si>
  <si>
    <t>2009/4/13 16:54:49</t>
  </si>
  <si>
    <t>【坍塌事故】河北省石家庄市“08.19”塔吊倒塌事故</t>
  </si>
  <si>
    <t>http://www.safehoo.com/Case/Case/Collapse/201812/1546063.shtml</t>
  </si>
  <si>
    <t>2006年8月19日，河北省石家庄市幼儿师范专科学校新校区学生宿舍楼工程施工现场在拆除塔吊过程中，发生了一起塔吊坍塌事故，造成3人死亡、1人轻伤，直接经济损失约45万元。该工程为砖混结构，建筑面积8072㎡，合同造价450万元，建筑高度21.5m。施工中使用l台QTZ一60型自升式塔吊。17日，项目经理在明知某私人拆装队没有相关资质的情况下，与其联系拆卸...</t>
  </si>
  <si>
    <t>2018/12/6 22:04:29</t>
  </si>
  <si>
    <t>【机械伤害】变幅小车翻越钢丝绳塔吊倾翻事故</t>
  </si>
  <si>
    <t>http://www.safehoo.com/Case/Case/Machine/202106/5641132.shtml</t>
  </si>
  <si>
    <t>直接经济损失45万元。事故过程简介：2004年4月,某公司第三工程处在某大桥进行斜拉索吊运,技术员甲、工人乙在地面指挥,塔吊工丙进行塔吊操作,将A11号斜拉索(6.291)吊运至主梁上。在完成A11号斜拉索吊运后,塔吊转回原地点吊运J1号斜拉索(重6.206),在将J号斜拉索垂直吊起后,塔吊顺时针旋转至主塔中心线约30°位置时,变幅小车运行到距塔吊中心线约19.5m处被大桥安装完毕的斜拉钢绳阻挡,...</t>
  </si>
  <si>
    <t>2021/6/4 14:06:55</t>
  </si>
  <si>
    <t>【起重伤害】浙江省湖州市“03.22”塔吊伤害事故</t>
  </si>
  <si>
    <t>http://www.safehoo.com/Case/Case/Crane/201812/1546065.shtml</t>
  </si>
  <si>
    <t>2006年3月22日，浙江省湖州市涌金苑商住楼工程施工现场，在塔吊拆卸过程中发生一起爬升架坠落事故，造成3人死亡、1人重伤，直接经济损失60万元。该...塔吊安装拆卸资质，以F简称机械安装公司)借用杭州某建筑施工有限公司(起重设备安装工程专业承包三级，以下简称建筑公司)的名义，与该项目的施工单位签订2台塔吊租赁合同。2006年3月2l日，机械安装公司与...</t>
  </si>
  <si>
    <t>2018/12/6 22:05:31</t>
  </si>
  <si>
    <t>【坍塌事故】山东省淄博市“10.10”塔吊倒塌事故</t>
  </si>
  <si>
    <t>http://www.safehoo.com/Case/Case/Collapse/201812/1546054.shtml</t>
  </si>
  <si>
    <t>2008年lO月10日，山东省淄博市某居民楼工程发生一起塔吊倒塌事故，由于施工地点l临近某幼儿园，造成5名儿童死亡、2名儿童重伤，直接经济损失约300万元。 ...工程的监理任务。事发当日，塔吊司机(无塔式起重机操作资格证)操作QTZ-401型塔式起重机向作业面吊运混凝土。当装有混凝土的料斗(重约700kg)吊离地面时，发现吊绳绕住了料斗上部的一个边角...</t>
  </si>
  <si>
    <t>2018/12/6 22:01:38</t>
  </si>
  <si>
    <t>【起重伤害】违反程序拆卸塔吊 平衡臂断裂坠落事故</t>
  </si>
  <si>
    <t>http://www.safehoo.com/Case/Case/Crane/201011/157136.shtml</t>
  </si>
  <si>
    <t>2004年,某工地内正在拆除一架已使用l6年的塔吊。上午10时许,拆卸工人Z某、X某和S某3人正在塔吊的前臂和平衡臂上进行拆除作业,突然塔吊发生剧裂晃动,几声声响后,平衡臂已经断裂,远端向下严量倾斜,致使正在塔吊上作业的3名工人从近20m的高处坠落。X某、S某两个人因伤势严重经抢救无效死亡,Z某轻伤生还。事故原因分析此次事故发生的原因有以下3点:</t>
  </si>
  <si>
    <t>2010/11/13 16:05:40</t>
  </si>
  <si>
    <t>【起重伤害】城建公司违章指挥造成塔吊倒塌案</t>
  </si>
  <si>
    <t>http://www.safehoo.com/Case/Case/Crane/200911/33372.shtml</t>
  </si>
  <si>
    <t>【案情】
　　某城建公司承包修建一单位住宅楼工程，城建公司又将工程发包给本公司职工柳某。在工程建设中，柳某私下找公司负责人联系借用吊车吊运塔吊。某日，公司会计兼小车驾驶员李某把吊车开到工地。汽车吊驾驶员陈某用汽车将塔吊运至工地。公司安装人员开始组装塔身。当日下午3点，汽车吊驾驶员陈某提出下班，理由是吊车油料用完，且天黑无照明灯。但现场施工负责人柳某不同意，派人找来汽油，让大家继续组装塔吊晚8...</t>
  </si>
  <si>
    <t>2009/11/19 16:59:52</t>
  </si>
  <si>
    <t>【坍塌事故】黑龙江省双鸭山市“04.12”塔吊倒塌事故</t>
  </si>
  <si>
    <t>http://www.safehoo.com/Case/Case/Collapse/201812/1546060.shtml</t>
  </si>
  <si>
    <t>建筑，总建筑面积5.68万㎡。发生事故的1号楼位于该工程项目南侧，事故发生时，该楼已施工至5层平台。当日10时左右，塔吊正在吊运试块用混凝土，料斗及混凝土总重509吨。塔身第1标准节西南角主弦杆突然断裂，塔吊上部倒下，部分塔身、司机室及配重砸到该楼5层平台上，3名正在进行楼板混凝土浇筑的施工人员被压在机身下，1人被倒下的塔身刮伤，塔吊司机受重伤。
  根据事故调查和责任认定，对有关责任方作出以下...</t>
  </si>
  <si>
    <t>2018/12/6 22:03:31</t>
  </si>
  <si>
    <t>【坍塌事故】金色年华世纪家园建筑施工塔吊倒塌事故</t>
  </si>
  <si>
    <t>http://www.safehoo.com/Case/Case/Collapse/201012/161869.shtml</t>
  </si>
  <si>
    <t>建设，工程施工使用了一座塔吊建筑机械。该塔吊型号为QT4063，于2008年3月12日由金达来公司聘请无塔吊安装资质的易某安装到该项目建筑施工地，塔机装机高度为11米，臂长48米，最大起重为60吨，在未经有相关资质的单位进行检测检验，就投入使用。施工期间，施工单位一直未曾对塔吊进行检测、检验、检修。长沙市“12.27'’施工升降机坠落事故发生后，金色年华世纪家园项目...</t>
  </si>
  <si>
    <t>2010/12/14 21:19:14</t>
  </si>
  <si>
    <t>【坍塌事故】陕西省宝鸡市“07.14”塔吊倒塌事故</t>
  </si>
  <si>
    <t>http://www.safehoo.com/Case/Case/Collapse/201812/1546055.shtml</t>
  </si>
  <si>
    <t>名施工人员，对工程西侧的塔式起重进行顶升作业。16时左右，正在顶升第2节标准节，当油缸顶升高度700mm时，塔帽晃动，连接平衡臂与塔帽的拉杆在塔帽顶端连接处销轴脱落，平衡臂失稳，塔吊产生晃动，两块配重断裂，砸向平衡臂下约16m处，平衡臂整体砸向臂下约13m处，第2道附着拉断，塔吊失稳，塔身扭转倒塌，塔上作业人员坠落。
    根据事故调查和责任认定，对有关责任方作出以下处理：建设单位法人代表、...</t>
  </si>
  <si>
    <t>2018/12/6 22:01:59</t>
  </si>
  <si>
    <t>【起重伤害】违反程序拆卸老化塔吊断臂伤亡事故</t>
  </si>
  <si>
    <t>http://www.safehoo.com/Case/Case/Crane/201011/158421.shtml</t>
  </si>
  <si>
    <t>一、事故过程简述
　　2004年某月某日，某工地内正在拆除一架已使用16的塔吊。上午10时许，拆卸工作Z某和X某、S某等工人正在塔吊的前臂和平衡上进行拆除作业。突然塔吊发生剧烈晃动，几声巨响后，平衡臂已经断裂，远端向下严重倾斜，致使正在塔吊上作业的3名工人从近20m的高处坠落。X某、S某两个因伤势严重经抢救无效死亡，Z某轻伤生还。
　　二、事故原因分析
　　此次事故发生的原因有以下三点...</t>
  </si>
  <si>
    <t>2010/11/23 0:25:11</t>
  </si>
  <si>
    <t>【高处坠落】从塔吊平衡臂上坠落事故案例分析</t>
  </si>
  <si>
    <t>http://www.safehoo.com/Case/Case/Drop/201612/466667.shtml</t>
  </si>
  <si>
    <t>事故经过及概况
某污水厂消化池工程由某建筑工程公司承建。在安装施工需用的塔吊时，发生高空坠落事故。
该污水厂消化池工程的施工方案规定，需要安装一台 QTZ一80型塔式起重机，并由该建筑公司的机械施工分公司负责安装该塔机。机施分公司副经理杜某某委派任某某、吴某某(死者)、秦某某(死者)等六人去工地安装塔吊，由任某某负责。当时租赁了某船厂40t汽车吊，因未带安装用钢丝绳千斤头，就拿了该汽车吊所配...</t>
  </si>
  <si>
    <t>2016/12/13 0:03:19</t>
  </si>
  <si>
    <t>【起重伤害】塔吊伸臂隐患末查 拆迁断裂伤亡事故</t>
  </si>
  <si>
    <t>http://www.safehoo.com/Case/Case/Crane/201203/263448.shtml</t>
  </si>
  <si>
    <t>一、事故过程简述
　　80t水仓吊拆迁工作是以机具站为主，修配厂、土建、焊接队等有关工种配合。原拟定采用100t塔吊和70t汽车吊分伸臂、回转台、门架、行走轮四大件拆运，伸臂采用卸去鹤嘴整体吊运的办法，同时要求铆工在上午将螺栓卸完，钳工画千斤顶顶升支架图交铆工制作。下午2时左右，鹤嘴与伸臂的44只螺栓全部拆除，3时，100t塔吊到位，12名起包工分别在伸臂下弦杆距扒杆根部25m附近进行起吊...</t>
  </si>
  <si>
    <t>2012/3/5 22:23:06</t>
  </si>
  <si>
    <t>【起重伤害】秦皇岛市建新里小区8号楼工程塔吊倒塌事故</t>
  </si>
  <si>
    <t>http://www.safehoo.com/Case/Case/Crane/202202/5663543.shtml</t>
  </si>
  <si>
    <t>施工人员对土壁情况掌握不准，作业人员思想麻痹，
安全意识淡薄，自我防护能力差。
(三)塔吊倒塌
案例七十秦皇岛市建新里小区8号楼工程塔吊倒塌事故
一、事故主要情况
事故发生时间：2005年...秦皇岛市建新里小
区号楼工程，钢筋工刘某指挥塔吊司机周某倒运钢筋。当吊第二勾时，由于超重，塔吊没
有起吊，卸去一部分钢筋后，塔吊开始起吊运行。钢筋吊至3~4高时，向北回转，同时变
幅小车向大臂远端运行...</t>
  </si>
  <si>
    <t>2022/2/6 12:16:40</t>
  </si>
  <si>
    <t>【高处坠落】#1转运塔吊装孔发生高空落物事件</t>
  </si>
  <si>
    <t>http://www.safehoo.com/Case/Case/Drop/201412/376038.shtml</t>
  </si>
  <si>
    <t>时间：2004年5月3日
　　一、事件经过：
　　5月3日10点45分左右，呼伦贝尔市建发公司施工3组在#1转运塔吊装孔从13层往12层吊运安装彩钢板所用的C型钢条，在吊运到第4次时，捆绑钢丝绳扣与C型钢突然脱开，16根长为7.5米的C型钢发生高坠，先后砸坏了原来封闭的12层、11层吊装孔的临时护板，又散落到第8层、7层和1层，10层的两块盖板分别掉落到8层和1层;另外，正在10层进行...</t>
  </si>
  <si>
    <t>2014/12/21 13:36:12</t>
  </si>
  <si>
    <t>【起重伤害】西安市高新区枫叶新都市施工工地塔吊倾覆重大事故</t>
  </si>
  <si>
    <t>http://www.safehoo.com/Case/Case/Crane/201108/196489.shtml</t>
  </si>
  <si>
    <t>（一）事故概况
　　2002年11月18日13时35分，在西安高新区枫叶新都市B区5号楼工程施工中，塔吊在顶升作业过程中，因指挥人员违章指挥操作变幅小车，操作人员违章操作纵变幅小车调整吊臂平衡，使得塔吊平衡失稳，导致塔吊吊臂、操作平台整体倾翻，从55m高处坠落，在塔上操作的两位民工随塔吊吊臂一同坠落，当场死亡；此时在地面作业的2位工人也被坠落的塔臂当场砸死；塔吊司机在塔臂倾覆瞬间从驾驶室...</t>
  </si>
  <si>
    <t>2011/8/16 15:46:33</t>
  </si>
  <si>
    <t>【物体打击】铭基公司“4•14”塔吊折倒伤人事故</t>
  </si>
  <si>
    <t>http://www.safehoo.com/Case/Case/Hit/201205/271292.shtml</t>
  </si>
  <si>
    <t>负责施工（签有施工合同），江苏江陵建设集团有限公司具有房屋建筑工程施工总承包一级资质，法人营业执照、安全生产许可证、管理人员及特种作业人员证件合法有效。9#楼塔吊基础完成之后，于4月7日开始安装塔吊。塔吊租赁太原顺意源机械有限公司设备（江苏江陵建设集团有限公司与太原顺意源机械有限公司签有租赁安装合同），并由太原顺意源机械有限公司安装，太原顺意源机械有限公司具有起重设备安装工程专业承包三级资质，法人...</t>
  </si>
  <si>
    <t>2012/5/16 0:05:03</t>
  </si>
  <si>
    <t>【坍塌事故】上海挚有建筑机械有限公司“8.6”塔吊坍塌死亡事故调查报告</t>
  </si>
  <si>
    <t>http://www.safehoo.com/Case/Case/Collapse/202308/5715048.shtml</t>
  </si>
  <si>
    <t>2021年8月6日19时30分左右，在杨浦区江浦社区R-09地块（大桥街道115街坊）上海挚有建筑机械有限公司作业人员在对塔吊调直作业过程中，发生一起坍塌事故，造成一人死亡。根据《生产安全事故报告和...塔吊施工安全生产管理协议》。（1）工程项目名称：杨浦区江浦社区R-09地块（大桥街道115街坊）。（2）施工地点：上海市东至眉州路（规划），南至R-05地块，西至杨树浦路，北至周家嘴路。（3）合同约定...</t>
  </si>
  <si>
    <t>2023/8/28 21:41:47</t>
  </si>
  <si>
    <t>【起重伤害】金盾俊园“6.01”塔吊倒塌致1死2伤事故</t>
  </si>
  <si>
    <t>http://www.safehoo.com/Case/Case/Crane/201607/447613.shtml</t>
  </si>
  <si>
    <t>一、事故概况
（1）事故发生时间：2013年6月1日早8:20左右
（2）事故地点：昆明市高新区金盾俊园A4地块1标段施工工地7号塔吊
（3）事故责任单位：云南建丰建筑工程有限公司、云南天主建筑机械租赁有限公司
（4）事故类别：起重机械伤害（塔吊倒塌）
（5）伤亡情况：死亡1人，重伤1人，轻伤1人。
二、事故发生经过
2013年6月1日早7:30时后，A4地块7号塔吊司机唐国华开始...</t>
  </si>
  <si>
    <t>2016/7/11 10:46:21</t>
  </si>
  <si>
    <t>关键词出现过的文本数量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</si>
</sst>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2"/>
      <color theme="1"/>
      <name val="宋体"/>
      <charset val="134"/>
      <scheme val="minor"/>
    </font>
    <font>
      <b/>
      <sz val="12"/>
      <color theme="1"/>
      <name val="宋体"/>
      <charset val="134"/>
      <scheme val="minor"/>
    </font>
    <font>
      <sz val="12"/>
      <name val="宋体"/>
      <charset val="134"/>
      <scheme val="minor"/>
    </font>
    <font>
      <sz val="12"/>
      <color rgb="FFFF0000"/>
      <name val="宋体"/>
      <charset val="134"/>
      <scheme val="minor"/>
    </font>
    <font>
      <b/>
      <sz val="11"/>
      <color theme="1"/>
      <name val="宋体"/>
      <charset val="134"/>
    </font>
    <font>
      <b/>
      <sz val="12"/>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0">
    <xf numFmtId="0" fontId="0" fillId="0" borderId="0" xfId="0" applyNumberFormat="1"/>
    <xf numFmtId="0" fontId="0" fillId="0" borderId="0" xfId="0" applyNumberFormat="1" applyAlignment="1">
      <alignment horizontal="left" vertical="center"/>
    </xf>
    <xf numFmtId="0" fontId="1" fillId="0" borderId="0" xfId="0" applyNumberFormat="1" applyFont="1" applyAlignment="1">
      <alignment horizontal="center" vertical="center"/>
    </xf>
    <xf numFmtId="0" fontId="0" fillId="0" borderId="0" xfId="0" applyNumberFormat="1" applyFont="1" applyAlignment="1">
      <alignment horizontal="left" vertical="center"/>
    </xf>
    <xf numFmtId="0" fontId="0" fillId="0" borderId="0" xfId="0" applyNumberFormat="1" applyFont="1" applyAlignment="1">
      <alignment horizontal="center" vertical="center"/>
    </xf>
    <xf numFmtId="0" fontId="0" fillId="0" borderId="0" xfId="0" applyNumberFormat="1" applyFont="1" applyAlignment="1">
      <alignment horizontal="center" vertical="center" wrapText="1"/>
    </xf>
    <xf numFmtId="0" fontId="2" fillId="0" borderId="0" xfId="0" applyNumberFormat="1" applyFont="1" applyAlignment="1">
      <alignment horizontal="left" vertical="center"/>
    </xf>
    <xf numFmtId="0" fontId="3" fillId="0" borderId="0" xfId="0" applyNumberFormat="1" applyFont="1" applyAlignment="1">
      <alignment horizontal="center" vertical="center"/>
    </xf>
    <xf numFmtId="0" fontId="4" fillId="0" borderId="0" xfId="0" applyFont="1" applyFill="1" applyAlignment="1">
      <alignment horizontal="center" vertical="center"/>
    </xf>
    <xf numFmtId="0" fontId="5"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51"/>
  <sheetViews>
    <sheetView tabSelected="1" zoomScale="69" zoomScaleNormal="69" workbookViewId="0">
      <selection activeCell="A59" sqref="A59"/>
    </sheetView>
  </sheetViews>
  <sheetFormatPr defaultColWidth="9" defaultRowHeight="17.6"/>
  <cols>
    <col min="1" max="1" width="120.580357142857" customWidth="1"/>
    <col min="2" max="2" width="70.5803571428571" customWidth="1"/>
    <col min="3" max="3" width="150.580357142857" customWidth="1"/>
    <col min="4" max="4" width="25.5803571428571" style="1" customWidth="1"/>
    <col min="5" max="28" width="30.5803571428571" customWidth="1"/>
  </cols>
  <sheetData>
    <row r="1" spans="1:2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9" t="s">
        <v>27</v>
      </c>
    </row>
    <row r="2" ht="71" spans="1:28">
      <c r="A2" s="3" t="s">
        <v>28</v>
      </c>
      <c r="B2" s="4" t="s">
        <v>29</v>
      </c>
      <c r="C2" s="5" t="s">
        <v>30</v>
      </c>
      <c r="D2" s="4" t="s">
        <v>31</v>
      </c>
      <c r="E2" s="7" t="s">
        <v>32</v>
      </c>
      <c r="F2" s="2">
        <v>1</v>
      </c>
      <c r="G2" s="2">
        <v>1</v>
      </c>
      <c r="H2" s="2"/>
      <c r="I2" s="2"/>
      <c r="J2" s="2"/>
      <c r="K2" s="2"/>
      <c r="L2" s="2"/>
      <c r="M2" s="2"/>
      <c r="N2" s="2"/>
      <c r="O2" s="2"/>
      <c r="P2" s="2"/>
      <c r="Q2" s="2"/>
      <c r="R2" s="2"/>
      <c r="S2" s="2"/>
      <c r="T2" s="2"/>
      <c r="U2" s="2"/>
      <c r="V2" s="2"/>
      <c r="W2" s="2"/>
      <c r="X2" s="2"/>
      <c r="Y2" s="2"/>
      <c r="Z2" s="2"/>
      <c r="AA2" s="2"/>
      <c r="AB2" s="2">
        <f>SUM(F2:AA2)</f>
        <v>2</v>
      </c>
    </row>
    <row r="3" spans="1:28">
      <c r="A3" s="3" t="s">
        <v>33</v>
      </c>
      <c r="B3" s="4" t="s">
        <v>34</v>
      </c>
      <c r="C3" s="4" t="s">
        <v>35</v>
      </c>
      <c r="D3" s="4" t="s">
        <v>36</v>
      </c>
      <c r="E3" s="4"/>
      <c r="F3" s="2"/>
      <c r="G3" s="2"/>
      <c r="H3" s="2"/>
      <c r="I3" s="2">
        <v>1</v>
      </c>
      <c r="J3" s="2"/>
      <c r="K3" s="2"/>
      <c r="L3" s="2"/>
      <c r="M3" s="2"/>
      <c r="N3" s="2"/>
      <c r="O3" s="2"/>
      <c r="P3" s="2"/>
      <c r="Q3" s="2"/>
      <c r="R3" s="2"/>
      <c r="S3" s="2"/>
      <c r="T3" s="2"/>
      <c r="U3" s="2"/>
      <c r="V3" s="2"/>
      <c r="W3" s="2"/>
      <c r="X3" s="2"/>
      <c r="Y3" s="2"/>
      <c r="Z3" s="2"/>
      <c r="AA3" s="2"/>
      <c r="AB3" s="2">
        <f t="shared" ref="AB3:AB66" si="0">SUM(F3:AA3)</f>
        <v>1</v>
      </c>
    </row>
    <row r="4" spans="1:28">
      <c r="A4" s="3" t="s">
        <v>37</v>
      </c>
      <c r="B4" s="4" t="s">
        <v>38</v>
      </c>
      <c r="C4" s="4" t="s">
        <v>39</v>
      </c>
      <c r="D4" s="4" t="s">
        <v>40</v>
      </c>
      <c r="E4" s="4"/>
      <c r="F4" s="2"/>
      <c r="G4" s="2"/>
      <c r="H4" s="8"/>
      <c r="I4" s="2"/>
      <c r="J4" s="2"/>
      <c r="K4" s="2"/>
      <c r="L4" s="2">
        <v>1</v>
      </c>
      <c r="M4" s="2"/>
      <c r="N4" s="2"/>
      <c r="O4" s="2"/>
      <c r="P4" s="2"/>
      <c r="Q4" s="2"/>
      <c r="R4" s="2"/>
      <c r="S4" s="2"/>
      <c r="T4" s="2"/>
      <c r="U4" s="2"/>
      <c r="V4" s="2"/>
      <c r="W4" s="2"/>
      <c r="X4" s="2"/>
      <c r="Y4" s="2"/>
      <c r="Z4" s="2"/>
      <c r="AA4" s="2"/>
      <c r="AB4" s="2">
        <f t="shared" si="0"/>
        <v>1</v>
      </c>
    </row>
    <row r="5" spans="1:28">
      <c r="A5" s="3" t="s">
        <v>41</v>
      </c>
      <c r="B5" s="4" t="s">
        <v>42</v>
      </c>
      <c r="C5" s="4" t="s">
        <v>43</v>
      </c>
      <c r="D5" s="4" t="s">
        <v>44</v>
      </c>
      <c r="E5" s="4"/>
      <c r="F5" s="2"/>
      <c r="G5" s="2"/>
      <c r="H5" s="8"/>
      <c r="I5" s="2"/>
      <c r="J5" s="2"/>
      <c r="K5" s="2"/>
      <c r="L5" s="2">
        <v>1</v>
      </c>
      <c r="M5" s="2"/>
      <c r="N5" s="2"/>
      <c r="O5" s="2"/>
      <c r="P5" s="2"/>
      <c r="Q5" s="2"/>
      <c r="R5" s="2"/>
      <c r="S5" s="2"/>
      <c r="T5" s="2"/>
      <c r="U5" s="2"/>
      <c r="V5" s="2"/>
      <c r="W5" s="2"/>
      <c r="X5" s="2"/>
      <c r="Y5" s="2"/>
      <c r="Z5" s="2"/>
      <c r="AA5" s="2"/>
      <c r="AB5" s="2">
        <f t="shared" si="0"/>
        <v>1</v>
      </c>
    </row>
    <row r="6" spans="1:28">
      <c r="A6" s="3" t="s">
        <v>45</v>
      </c>
      <c r="B6" s="4" t="s">
        <v>46</v>
      </c>
      <c r="C6" s="4" t="s">
        <v>47</v>
      </c>
      <c r="D6" s="4" t="s">
        <v>48</v>
      </c>
      <c r="E6" s="4"/>
      <c r="F6" s="2"/>
      <c r="G6" s="2"/>
      <c r="H6" s="8"/>
      <c r="I6" s="2"/>
      <c r="J6" s="2"/>
      <c r="K6" s="2"/>
      <c r="L6" s="2"/>
      <c r="M6" s="2"/>
      <c r="N6" s="2"/>
      <c r="O6" s="2"/>
      <c r="P6" s="2"/>
      <c r="Q6" s="2"/>
      <c r="R6" s="2"/>
      <c r="S6" s="2"/>
      <c r="T6" s="2"/>
      <c r="U6" s="2"/>
      <c r="V6" s="2">
        <v>1</v>
      </c>
      <c r="W6" s="2"/>
      <c r="X6" s="2">
        <v>1</v>
      </c>
      <c r="Y6" s="2"/>
      <c r="Z6" s="2"/>
      <c r="AA6" s="2"/>
      <c r="AB6" s="2">
        <f t="shared" si="0"/>
        <v>2</v>
      </c>
    </row>
    <row r="7" spans="1:28">
      <c r="A7" s="3" t="s">
        <v>49</v>
      </c>
      <c r="B7" s="4" t="s">
        <v>50</v>
      </c>
      <c r="C7" s="4" t="s">
        <v>51</v>
      </c>
      <c r="D7" s="4" t="s">
        <v>52</v>
      </c>
      <c r="E7" s="4"/>
      <c r="F7" s="2"/>
      <c r="G7" s="2"/>
      <c r="H7" s="2"/>
      <c r="I7" s="2"/>
      <c r="J7" s="2">
        <v>1</v>
      </c>
      <c r="K7" s="2"/>
      <c r="L7" s="2"/>
      <c r="M7" s="2"/>
      <c r="N7" s="2"/>
      <c r="O7" s="2">
        <v>1</v>
      </c>
      <c r="P7" s="2"/>
      <c r="Q7" s="2"/>
      <c r="R7" s="2"/>
      <c r="S7" s="2"/>
      <c r="T7" s="2"/>
      <c r="U7" s="2"/>
      <c r="V7" s="2"/>
      <c r="W7" s="2"/>
      <c r="X7" s="2"/>
      <c r="Y7" s="2"/>
      <c r="Z7" s="2"/>
      <c r="AA7" s="2"/>
      <c r="AB7" s="2">
        <f t="shared" si="0"/>
        <v>2</v>
      </c>
    </row>
    <row r="8" spans="1:28">
      <c r="A8" s="3" t="s">
        <v>53</v>
      </c>
      <c r="B8" s="4" t="s">
        <v>54</v>
      </c>
      <c r="C8" s="4" t="s">
        <v>55</v>
      </c>
      <c r="D8" s="4" t="s">
        <v>56</v>
      </c>
      <c r="E8" s="4"/>
      <c r="F8" s="2"/>
      <c r="G8" s="2"/>
      <c r="H8" s="2"/>
      <c r="I8" s="2"/>
      <c r="J8" s="2"/>
      <c r="K8" s="2">
        <v>1</v>
      </c>
      <c r="L8" s="2"/>
      <c r="M8" s="2"/>
      <c r="N8" s="2"/>
      <c r="O8" s="2"/>
      <c r="P8" s="2"/>
      <c r="Q8" s="2"/>
      <c r="R8" s="2"/>
      <c r="S8" s="2"/>
      <c r="T8" s="2"/>
      <c r="U8" s="2"/>
      <c r="V8" s="2"/>
      <c r="W8" s="2"/>
      <c r="X8" s="2"/>
      <c r="Y8" s="2"/>
      <c r="Z8" s="2"/>
      <c r="AA8" s="2"/>
      <c r="AB8" s="2">
        <f t="shared" si="0"/>
        <v>1</v>
      </c>
    </row>
    <row r="9" spans="1:28">
      <c r="A9" s="3" t="s">
        <v>57</v>
      </c>
      <c r="B9" s="4" t="s">
        <v>58</v>
      </c>
      <c r="C9" s="4" t="s">
        <v>59</v>
      </c>
      <c r="D9" s="4" t="s">
        <v>60</v>
      </c>
      <c r="E9" s="4"/>
      <c r="F9" s="2"/>
      <c r="G9" s="2"/>
      <c r="H9" s="2"/>
      <c r="I9" s="2"/>
      <c r="J9" s="2"/>
      <c r="K9" s="2"/>
      <c r="L9" s="2"/>
      <c r="M9" s="2"/>
      <c r="N9" s="2"/>
      <c r="O9" s="2"/>
      <c r="P9" s="2"/>
      <c r="Q9" s="2">
        <v>1</v>
      </c>
      <c r="R9" s="2">
        <v>1</v>
      </c>
      <c r="S9" s="2"/>
      <c r="T9" s="2">
        <v>1</v>
      </c>
      <c r="U9" s="2"/>
      <c r="V9" s="2"/>
      <c r="W9" s="2"/>
      <c r="X9" s="2"/>
      <c r="Y9" s="2"/>
      <c r="Z9" s="2"/>
      <c r="AA9" s="2"/>
      <c r="AB9" s="2">
        <f t="shared" si="0"/>
        <v>3</v>
      </c>
    </row>
    <row r="10" spans="1:28">
      <c r="A10" s="3" t="s">
        <v>61</v>
      </c>
      <c r="B10" s="4" t="s">
        <v>62</v>
      </c>
      <c r="C10" s="4" t="s">
        <v>63</v>
      </c>
      <c r="D10" s="4" t="s">
        <v>64</v>
      </c>
      <c r="E10" s="4"/>
      <c r="F10" s="2"/>
      <c r="G10" s="2"/>
      <c r="H10" s="2"/>
      <c r="I10" s="2"/>
      <c r="J10" s="2"/>
      <c r="K10" s="2"/>
      <c r="L10" s="2">
        <v>1</v>
      </c>
      <c r="M10" s="2"/>
      <c r="N10" s="2"/>
      <c r="O10" s="2"/>
      <c r="P10" s="2"/>
      <c r="Q10" s="2"/>
      <c r="R10" s="2"/>
      <c r="S10" s="2"/>
      <c r="T10" s="2"/>
      <c r="U10" s="2"/>
      <c r="V10" s="2"/>
      <c r="W10" s="2"/>
      <c r="X10" s="2"/>
      <c r="Y10" s="2"/>
      <c r="Z10" s="2"/>
      <c r="AA10" s="2"/>
      <c r="AB10" s="2">
        <f t="shared" si="0"/>
        <v>1</v>
      </c>
    </row>
    <row r="11" spans="1:28">
      <c r="A11" s="3" t="s">
        <v>65</v>
      </c>
      <c r="B11" s="4" t="s">
        <v>66</v>
      </c>
      <c r="C11" s="4" t="s">
        <v>67</v>
      </c>
      <c r="D11" s="4" t="s">
        <v>44</v>
      </c>
      <c r="E11" s="4"/>
      <c r="F11" s="2" t="s">
        <v>68</v>
      </c>
      <c r="G11" s="2"/>
      <c r="H11" s="2"/>
      <c r="I11" s="2"/>
      <c r="J11" s="2"/>
      <c r="K11" s="2"/>
      <c r="L11" s="2"/>
      <c r="M11" s="2"/>
      <c r="N11" s="2">
        <v>1</v>
      </c>
      <c r="O11" s="2">
        <v>1</v>
      </c>
      <c r="P11" s="2"/>
      <c r="Q11" s="2"/>
      <c r="R11" s="2"/>
      <c r="S11" s="2"/>
      <c r="T11" s="2"/>
      <c r="U11" s="2"/>
      <c r="V11" s="2"/>
      <c r="W11" s="2"/>
      <c r="X11" s="2">
        <v>1</v>
      </c>
      <c r="Y11" s="2"/>
      <c r="Z11" s="2"/>
      <c r="AA11" s="2"/>
      <c r="AB11" s="2">
        <f t="shared" si="0"/>
        <v>3</v>
      </c>
    </row>
    <row r="12" ht="124" spans="1:28">
      <c r="A12" s="3" t="s">
        <v>69</v>
      </c>
      <c r="B12" s="4" t="s">
        <v>70</v>
      </c>
      <c r="C12" s="5" t="s">
        <v>71</v>
      </c>
      <c r="D12" s="4"/>
      <c r="E12" s="4"/>
      <c r="F12" s="2"/>
      <c r="G12" s="2"/>
      <c r="H12" s="2"/>
      <c r="I12" s="2"/>
      <c r="J12" s="2">
        <v>1</v>
      </c>
      <c r="K12" s="2"/>
      <c r="L12" s="2"/>
      <c r="M12" s="2"/>
      <c r="N12" s="2">
        <v>1</v>
      </c>
      <c r="O12" s="2">
        <v>1</v>
      </c>
      <c r="P12" s="2"/>
      <c r="Q12" s="2"/>
      <c r="R12" s="2"/>
      <c r="S12" s="2"/>
      <c r="T12" s="2"/>
      <c r="U12" s="2"/>
      <c r="V12" s="2"/>
      <c r="W12" s="2"/>
      <c r="X12" s="2"/>
      <c r="Y12" s="2"/>
      <c r="Z12" s="2"/>
      <c r="AA12" s="2"/>
      <c r="AB12" s="2">
        <f t="shared" si="0"/>
        <v>3</v>
      </c>
    </row>
    <row r="13" ht="53" spans="1:28">
      <c r="A13" s="3" t="s">
        <v>72</v>
      </c>
      <c r="B13" s="4" t="s">
        <v>73</v>
      </c>
      <c r="C13" s="5" t="s">
        <v>74</v>
      </c>
      <c r="D13" s="4" t="s">
        <v>75</v>
      </c>
      <c r="E13" s="4"/>
      <c r="F13" s="2"/>
      <c r="G13" s="2"/>
      <c r="H13" s="2"/>
      <c r="I13" s="2"/>
      <c r="J13" s="2"/>
      <c r="K13" s="2"/>
      <c r="L13" s="2"/>
      <c r="M13" s="2">
        <v>1</v>
      </c>
      <c r="N13" s="2"/>
      <c r="O13" s="2"/>
      <c r="P13" s="2"/>
      <c r="Q13" s="2"/>
      <c r="R13" s="2"/>
      <c r="S13" s="2"/>
      <c r="T13" s="2"/>
      <c r="U13" s="2"/>
      <c r="V13" s="2"/>
      <c r="W13" s="2"/>
      <c r="X13" s="2"/>
      <c r="Y13" s="2"/>
      <c r="Z13" s="2"/>
      <c r="AA13" s="2"/>
      <c r="AB13" s="2">
        <f t="shared" si="0"/>
        <v>1</v>
      </c>
    </row>
    <row r="14" ht="36" spans="1:28">
      <c r="A14" s="3" t="s">
        <v>76</v>
      </c>
      <c r="B14" s="4" t="s">
        <v>77</v>
      </c>
      <c r="C14" s="5" t="s">
        <v>78</v>
      </c>
      <c r="D14" s="4" t="s">
        <v>79</v>
      </c>
      <c r="E14" s="4"/>
      <c r="F14" s="2"/>
      <c r="G14" s="2"/>
      <c r="H14" s="2">
        <v>1</v>
      </c>
      <c r="I14" s="2"/>
      <c r="J14" s="2"/>
      <c r="K14" s="2"/>
      <c r="L14" s="2"/>
      <c r="M14" s="2"/>
      <c r="N14" s="2"/>
      <c r="O14" s="2"/>
      <c r="P14" s="2"/>
      <c r="Q14" s="2"/>
      <c r="R14" s="2"/>
      <c r="S14" s="2"/>
      <c r="T14" s="2"/>
      <c r="U14" s="2"/>
      <c r="V14" s="2"/>
      <c r="W14" s="2"/>
      <c r="X14" s="2"/>
      <c r="Y14" s="2"/>
      <c r="Z14" s="2"/>
      <c r="AA14" s="2"/>
      <c r="AB14" s="2">
        <f t="shared" si="0"/>
        <v>1</v>
      </c>
    </row>
    <row r="15" spans="1:28">
      <c r="A15" s="3" t="s">
        <v>80</v>
      </c>
      <c r="B15" s="4" t="s">
        <v>81</v>
      </c>
      <c r="C15" s="4" t="s">
        <v>82</v>
      </c>
      <c r="D15" s="4" t="s">
        <v>83</v>
      </c>
      <c r="E15" s="4"/>
      <c r="F15" s="2"/>
      <c r="G15" s="2"/>
      <c r="H15" s="2">
        <v>1</v>
      </c>
      <c r="I15" s="2"/>
      <c r="J15" s="2"/>
      <c r="K15" s="2"/>
      <c r="L15" s="2"/>
      <c r="M15" s="2"/>
      <c r="N15" s="2"/>
      <c r="O15" s="2"/>
      <c r="P15" s="2"/>
      <c r="Q15" s="2"/>
      <c r="R15" s="2"/>
      <c r="S15" s="2"/>
      <c r="T15" s="2"/>
      <c r="U15" s="2"/>
      <c r="V15" s="2"/>
      <c r="W15" s="2"/>
      <c r="X15" s="2"/>
      <c r="Y15" s="2"/>
      <c r="Z15" s="2"/>
      <c r="AA15" s="2"/>
      <c r="AB15" s="2">
        <f t="shared" si="0"/>
        <v>1</v>
      </c>
    </row>
    <row r="16" ht="18" spans="1:28">
      <c r="A16" s="3" t="s">
        <v>84</v>
      </c>
      <c r="B16" s="4" t="s">
        <v>85</v>
      </c>
      <c r="C16" s="5" t="s">
        <v>86</v>
      </c>
      <c r="D16" s="4" t="s">
        <v>87</v>
      </c>
      <c r="E16" s="4"/>
      <c r="F16" s="2">
        <v>1</v>
      </c>
      <c r="G16" s="2"/>
      <c r="H16" s="2"/>
      <c r="I16" s="2"/>
      <c r="J16" s="2"/>
      <c r="K16" s="2"/>
      <c r="L16" s="2"/>
      <c r="M16" s="2"/>
      <c r="N16" s="2">
        <v>1</v>
      </c>
      <c r="O16" s="2"/>
      <c r="P16" s="2"/>
      <c r="Q16" s="2"/>
      <c r="R16" s="2"/>
      <c r="S16" s="2"/>
      <c r="T16" s="2"/>
      <c r="U16" s="2"/>
      <c r="V16" s="2"/>
      <c r="W16" s="2"/>
      <c r="X16" s="2"/>
      <c r="Y16" s="2"/>
      <c r="Z16" s="2"/>
      <c r="AA16" s="2"/>
      <c r="AB16" s="2">
        <f t="shared" si="0"/>
        <v>2</v>
      </c>
    </row>
    <row r="17" spans="1:28">
      <c r="A17" s="3" t="s">
        <v>88</v>
      </c>
      <c r="B17" s="4" t="s">
        <v>89</v>
      </c>
      <c r="C17" s="4" t="s">
        <v>90</v>
      </c>
      <c r="D17" s="4" t="s">
        <v>91</v>
      </c>
      <c r="E17" s="4"/>
      <c r="F17" s="2"/>
      <c r="G17" s="2"/>
      <c r="H17" s="2">
        <v>1</v>
      </c>
      <c r="I17" s="2"/>
      <c r="J17" s="2"/>
      <c r="K17" s="2"/>
      <c r="L17" s="2"/>
      <c r="M17" s="2"/>
      <c r="N17" s="2"/>
      <c r="O17" s="2"/>
      <c r="P17" s="2"/>
      <c r="Q17" s="2"/>
      <c r="R17" s="2"/>
      <c r="S17" s="2"/>
      <c r="T17" s="2"/>
      <c r="U17" s="2"/>
      <c r="V17" s="2"/>
      <c r="W17" s="2"/>
      <c r="X17" s="2"/>
      <c r="Y17" s="2"/>
      <c r="Z17" s="2"/>
      <c r="AA17" s="2"/>
      <c r="AB17" s="2">
        <f t="shared" si="0"/>
        <v>1</v>
      </c>
    </row>
    <row r="18" spans="1:28">
      <c r="A18" s="3" t="s">
        <v>92</v>
      </c>
      <c r="B18" s="4" t="s">
        <v>93</v>
      </c>
      <c r="C18" s="4" t="s">
        <v>94</v>
      </c>
      <c r="D18" s="4" t="s">
        <v>95</v>
      </c>
      <c r="E18" s="4"/>
      <c r="F18" s="2"/>
      <c r="G18" s="2"/>
      <c r="H18" s="2"/>
      <c r="I18" s="2"/>
      <c r="J18" s="2"/>
      <c r="K18" s="2"/>
      <c r="L18" s="2"/>
      <c r="M18" s="2">
        <v>1</v>
      </c>
      <c r="N18" s="2"/>
      <c r="O18" s="2"/>
      <c r="P18" s="2"/>
      <c r="Q18" s="2"/>
      <c r="R18" s="2"/>
      <c r="S18" s="2"/>
      <c r="T18" s="2"/>
      <c r="U18" s="2"/>
      <c r="V18" s="2"/>
      <c r="W18" s="2"/>
      <c r="X18" s="2"/>
      <c r="Y18" s="2"/>
      <c r="Z18" s="2"/>
      <c r="AA18" s="2"/>
      <c r="AB18" s="2">
        <f t="shared" si="0"/>
        <v>1</v>
      </c>
    </row>
    <row r="19" spans="1:28">
      <c r="A19" s="3" t="s">
        <v>96</v>
      </c>
      <c r="B19" s="4" t="s">
        <v>97</v>
      </c>
      <c r="C19" s="4" t="s">
        <v>98</v>
      </c>
      <c r="D19" s="4" t="s">
        <v>99</v>
      </c>
      <c r="E19" s="4"/>
      <c r="F19" s="2"/>
      <c r="G19" s="2"/>
      <c r="H19" s="2"/>
      <c r="I19" s="2"/>
      <c r="J19" s="2"/>
      <c r="K19" s="2"/>
      <c r="L19" s="2">
        <v>1</v>
      </c>
      <c r="M19" s="2"/>
      <c r="N19" s="2"/>
      <c r="O19" s="2"/>
      <c r="P19" s="2"/>
      <c r="Q19" s="2"/>
      <c r="R19" s="2"/>
      <c r="S19" s="2"/>
      <c r="T19" s="2"/>
      <c r="U19" s="2"/>
      <c r="V19" s="2"/>
      <c r="W19" s="2"/>
      <c r="X19" s="2"/>
      <c r="Y19" s="2"/>
      <c r="Z19" s="2"/>
      <c r="AA19" s="2"/>
      <c r="AB19" s="2">
        <f t="shared" si="0"/>
        <v>1</v>
      </c>
    </row>
    <row r="20" spans="1:28">
      <c r="A20" s="3" t="s">
        <v>100</v>
      </c>
      <c r="B20" s="4" t="s">
        <v>101</v>
      </c>
      <c r="C20" s="4" t="s">
        <v>102</v>
      </c>
      <c r="D20" s="4" t="s">
        <v>103</v>
      </c>
      <c r="E20" s="4"/>
      <c r="F20" s="2"/>
      <c r="G20" s="2"/>
      <c r="H20" s="2"/>
      <c r="I20" s="2"/>
      <c r="J20" s="2"/>
      <c r="K20" s="2"/>
      <c r="L20" s="2"/>
      <c r="M20" s="2"/>
      <c r="N20" s="2"/>
      <c r="O20" s="2"/>
      <c r="P20" s="2"/>
      <c r="Q20" s="2">
        <v>1</v>
      </c>
      <c r="R20" s="2"/>
      <c r="S20" s="2"/>
      <c r="T20" s="2"/>
      <c r="U20" s="2"/>
      <c r="V20" s="2"/>
      <c r="W20" s="2"/>
      <c r="X20" s="2"/>
      <c r="Y20" s="2"/>
      <c r="Z20" s="2"/>
      <c r="AA20" s="2"/>
      <c r="AB20" s="2">
        <f t="shared" si="0"/>
        <v>1</v>
      </c>
    </row>
    <row r="21" spans="1:28">
      <c r="A21" s="3" t="s">
        <v>104</v>
      </c>
      <c r="B21" s="4" t="s">
        <v>105</v>
      </c>
      <c r="C21" s="4" t="s">
        <v>106</v>
      </c>
      <c r="D21" s="4" t="s">
        <v>107</v>
      </c>
      <c r="E21" s="4"/>
      <c r="F21" s="2"/>
      <c r="G21" s="2"/>
      <c r="H21" s="2"/>
      <c r="I21" s="2"/>
      <c r="J21" s="2">
        <v>1</v>
      </c>
      <c r="K21" s="2"/>
      <c r="L21" s="2"/>
      <c r="M21" s="2"/>
      <c r="N21" s="2"/>
      <c r="O21" s="2"/>
      <c r="P21" s="2"/>
      <c r="Q21" s="2"/>
      <c r="R21" s="2"/>
      <c r="S21" s="2"/>
      <c r="T21" s="2"/>
      <c r="U21" s="2"/>
      <c r="V21" s="2"/>
      <c r="W21" s="2"/>
      <c r="X21" s="2"/>
      <c r="Y21" s="2"/>
      <c r="Z21" s="2"/>
      <c r="AA21" s="2"/>
      <c r="AB21" s="2">
        <f t="shared" si="0"/>
        <v>1</v>
      </c>
    </row>
    <row r="22" spans="1:28">
      <c r="A22" s="3" t="s">
        <v>108</v>
      </c>
      <c r="B22" s="4" t="s">
        <v>109</v>
      </c>
      <c r="C22" s="4" t="s">
        <v>110</v>
      </c>
      <c r="D22" s="4" t="s">
        <v>111</v>
      </c>
      <c r="E22" s="4"/>
      <c r="F22" s="2"/>
      <c r="G22" s="2"/>
      <c r="H22" s="2"/>
      <c r="I22" s="2"/>
      <c r="J22" s="2"/>
      <c r="K22" s="2"/>
      <c r="L22" s="2"/>
      <c r="M22" s="2"/>
      <c r="N22" s="2"/>
      <c r="O22" s="2"/>
      <c r="P22" s="2"/>
      <c r="Q22" s="2"/>
      <c r="R22" s="2">
        <v>1</v>
      </c>
      <c r="S22" s="2"/>
      <c r="T22" s="2"/>
      <c r="U22" s="2"/>
      <c r="V22" s="2"/>
      <c r="W22" s="2"/>
      <c r="X22" s="2"/>
      <c r="Y22" s="2">
        <v>1</v>
      </c>
      <c r="Z22" s="2"/>
      <c r="AA22" s="2"/>
      <c r="AB22" s="2">
        <f t="shared" si="0"/>
        <v>2</v>
      </c>
    </row>
    <row r="23" spans="1:28">
      <c r="A23" s="3" t="s">
        <v>112</v>
      </c>
      <c r="B23" s="4" t="s">
        <v>113</v>
      </c>
      <c r="C23" s="4" t="s">
        <v>114</v>
      </c>
      <c r="D23" s="4" t="s">
        <v>115</v>
      </c>
      <c r="E23" s="4"/>
      <c r="F23" s="2"/>
      <c r="G23" s="2"/>
      <c r="H23" s="2">
        <v>1</v>
      </c>
      <c r="I23" s="2"/>
      <c r="J23" s="2"/>
      <c r="K23" s="2"/>
      <c r="L23" s="2"/>
      <c r="M23" s="2"/>
      <c r="N23" s="2"/>
      <c r="O23" s="2"/>
      <c r="P23" s="2"/>
      <c r="Q23" s="2"/>
      <c r="R23" s="2"/>
      <c r="S23" s="2"/>
      <c r="T23" s="2"/>
      <c r="U23" s="2"/>
      <c r="V23" s="2"/>
      <c r="W23" s="2"/>
      <c r="X23" s="2"/>
      <c r="Y23" s="2"/>
      <c r="Z23" s="2"/>
      <c r="AA23" s="2"/>
      <c r="AB23" s="2">
        <f t="shared" si="0"/>
        <v>1</v>
      </c>
    </row>
    <row r="24" ht="53" spans="1:28">
      <c r="A24" s="3" t="s">
        <v>116</v>
      </c>
      <c r="B24" s="4" t="s">
        <v>117</v>
      </c>
      <c r="C24" s="5" t="s">
        <v>118</v>
      </c>
      <c r="D24" s="4" t="s">
        <v>119</v>
      </c>
      <c r="E24" s="4"/>
      <c r="F24" s="2"/>
      <c r="G24" s="2"/>
      <c r="H24" s="2"/>
      <c r="I24" s="2"/>
      <c r="J24" s="2"/>
      <c r="K24" s="2">
        <v>1</v>
      </c>
      <c r="L24" s="2"/>
      <c r="M24" s="2">
        <v>1</v>
      </c>
      <c r="N24" s="2"/>
      <c r="O24" s="2"/>
      <c r="P24" s="2"/>
      <c r="Q24" s="2"/>
      <c r="R24" s="2"/>
      <c r="S24" s="2"/>
      <c r="T24" s="2"/>
      <c r="U24" s="2"/>
      <c r="V24" s="2"/>
      <c r="W24" s="2"/>
      <c r="X24" s="2"/>
      <c r="Y24" s="2"/>
      <c r="Z24" s="2"/>
      <c r="AA24" s="2"/>
      <c r="AB24" s="2">
        <f t="shared" si="0"/>
        <v>2</v>
      </c>
    </row>
    <row r="25" spans="1:28">
      <c r="A25" s="3" t="s">
        <v>120</v>
      </c>
      <c r="B25" s="4" t="s">
        <v>121</v>
      </c>
      <c r="C25" s="4" t="s">
        <v>122</v>
      </c>
      <c r="D25" s="4" t="s">
        <v>123</v>
      </c>
      <c r="E25" s="4"/>
      <c r="F25" s="2"/>
      <c r="G25" s="2"/>
      <c r="H25" s="2"/>
      <c r="I25" s="2"/>
      <c r="J25" s="2"/>
      <c r="K25" s="2"/>
      <c r="L25" s="2"/>
      <c r="M25" s="2"/>
      <c r="N25" s="2"/>
      <c r="O25" s="2"/>
      <c r="P25" s="2"/>
      <c r="Q25" s="2"/>
      <c r="R25" s="2"/>
      <c r="S25" s="2"/>
      <c r="T25" s="2">
        <v>1</v>
      </c>
      <c r="U25" s="2"/>
      <c r="V25" s="2"/>
      <c r="W25" s="2"/>
      <c r="X25" s="2"/>
      <c r="Y25" s="2"/>
      <c r="Z25" s="2"/>
      <c r="AA25" s="2"/>
      <c r="AB25" s="2">
        <f t="shared" si="0"/>
        <v>1</v>
      </c>
    </row>
    <row r="26" spans="1:28">
      <c r="A26" s="3" t="s">
        <v>124</v>
      </c>
      <c r="B26" s="4" t="s">
        <v>125</v>
      </c>
      <c r="C26" s="4" t="s">
        <v>126</v>
      </c>
      <c r="D26" s="4" t="s">
        <v>127</v>
      </c>
      <c r="E26" s="4"/>
      <c r="F26" s="2"/>
      <c r="G26" s="2"/>
      <c r="H26" s="2"/>
      <c r="I26" s="2"/>
      <c r="J26" s="2"/>
      <c r="K26" s="2"/>
      <c r="L26" s="2"/>
      <c r="M26" s="2"/>
      <c r="N26" s="2"/>
      <c r="O26" s="2"/>
      <c r="P26" s="2"/>
      <c r="Q26" s="2"/>
      <c r="R26" s="2"/>
      <c r="S26" s="2"/>
      <c r="T26" s="2"/>
      <c r="U26" s="2">
        <v>1</v>
      </c>
      <c r="V26" s="2">
        <v>1</v>
      </c>
      <c r="W26" s="2">
        <v>1</v>
      </c>
      <c r="X26" s="2">
        <v>1</v>
      </c>
      <c r="Y26" s="2">
        <v>1</v>
      </c>
      <c r="Z26" s="2"/>
      <c r="AA26" s="2"/>
      <c r="AB26" s="2">
        <f t="shared" si="0"/>
        <v>5</v>
      </c>
    </row>
    <row r="27" spans="1:28">
      <c r="A27" s="3" t="s">
        <v>128</v>
      </c>
      <c r="B27" s="4" t="s">
        <v>129</v>
      </c>
      <c r="C27" s="4" t="s">
        <v>130</v>
      </c>
      <c r="D27" s="4" t="s">
        <v>131</v>
      </c>
      <c r="E27" s="4"/>
      <c r="F27" s="2">
        <v>1</v>
      </c>
      <c r="G27" s="2"/>
      <c r="H27" s="2"/>
      <c r="I27" s="2"/>
      <c r="J27" s="2"/>
      <c r="K27" s="2"/>
      <c r="L27" s="2"/>
      <c r="M27" s="2"/>
      <c r="N27" s="2"/>
      <c r="O27" s="2"/>
      <c r="P27" s="2"/>
      <c r="Q27" s="2"/>
      <c r="R27" s="2">
        <v>1</v>
      </c>
      <c r="S27" s="2"/>
      <c r="T27" s="2"/>
      <c r="U27" s="2"/>
      <c r="V27" s="2"/>
      <c r="W27" s="2"/>
      <c r="X27" s="2"/>
      <c r="Y27" s="2">
        <v>1</v>
      </c>
      <c r="Z27" s="2"/>
      <c r="AA27" s="2"/>
      <c r="AB27" s="2">
        <f t="shared" si="0"/>
        <v>3</v>
      </c>
    </row>
    <row r="28" spans="1:28">
      <c r="A28" s="3" t="s">
        <v>132</v>
      </c>
      <c r="B28" s="4" t="s">
        <v>133</v>
      </c>
      <c r="C28" s="4" t="s">
        <v>134</v>
      </c>
      <c r="D28" s="4" t="s">
        <v>135</v>
      </c>
      <c r="E28" s="4"/>
      <c r="F28" s="2"/>
      <c r="G28" s="2"/>
      <c r="H28" s="2"/>
      <c r="I28" s="2"/>
      <c r="J28" s="2"/>
      <c r="K28" s="2"/>
      <c r="L28" s="2">
        <v>1</v>
      </c>
      <c r="M28" s="2"/>
      <c r="N28" s="2">
        <v>1</v>
      </c>
      <c r="O28" s="2"/>
      <c r="P28" s="2"/>
      <c r="Q28" s="2"/>
      <c r="R28" s="2"/>
      <c r="S28" s="2"/>
      <c r="T28" s="2"/>
      <c r="U28" s="2"/>
      <c r="V28" s="2"/>
      <c r="W28" s="2"/>
      <c r="X28" s="2"/>
      <c r="Y28" s="2"/>
      <c r="Z28" s="2"/>
      <c r="AA28" s="2"/>
      <c r="AB28" s="2">
        <f t="shared" si="0"/>
        <v>2</v>
      </c>
    </row>
    <row r="29" ht="53" spans="1:28">
      <c r="A29" s="3" t="s">
        <v>136</v>
      </c>
      <c r="B29" s="4" t="s">
        <v>137</v>
      </c>
      <c r="C29" s="5" t="s">
        <v>138</v>
      </c>
      <c r="D29" s="4" t="s">
        <v>139</v>
      </c>
      <c r="E29" s="4"/>
      <c r="F29" s="2"/>
      <c r="G29" s="2"/>
      <c r="H29" s="2"/>
      <c r="I29" s="2"/>
      <c r="J29" s="2"/>
      <c r="K29" s="2">
        <v>1</v>
      </c>
      <c r="L29" s="2"/>
      <c r="M29" s="2"/>
      <c r="N29" s="2">
        <v>1</v>
      </c>
      <c r="O29" s="2"/>
      <c r="P29" s="2"/>
      <c r="Q29" s="2"/>
      <c r="R29" s="2"/>
      <c r="S29" s="2"/>
      <c r="T29" s="2"/>
      <c r="U29" s="2"/>
      <c r="V29" s="2"/>
      <c r="W29" s="2"/>
      <c r="X29" s="2"/>
      <c r="Y29" s="2"/>
      <c r="Z29" s="2"/>
      <c r="AA29" s="2"/>
      <c r="AB29" s="2">
        <f t="shared" si="0"/>
        <v>2</v>
      </c>
    </row>
    <row r="30" spans="1:28">
      <c r="A30" s="3" t="s">
        <v>140</v>
      </c>
      <c r="B30" s="4" t="s">
        <v>141</v>
      </c>
      <c r="C30" s="4" t="s">
        <v>142</v>
      </c>
      <c r="D30" s="4" t="s">
        <v>143</v>
      </c>
      <c r="E30" s="4"/>
      <c r="F30" s="2"/>
      <c r="G30" s="2"/>
      <c r="H30" s="2">
        <v>1</v>
      </c>
      <c r="I30" s="2"/>
      <c r="J30" s="2"/>
      <c r="K30" s="2"/>
      <c r="L30" s="2"/>
      <c r="M30" s="2"/>
      <c r="N30" s="2">
        <v>1</v>
      </c>
      <c r="O30" s="2"/>
      <c r="P30" s="2"/>
      <c r="Q30" s="2"/>
      <c r="R30" s="2"/>
      <c r="S30" s="2"/>
      <c r="T30" s="2"/>
      <c r="U30" s="2"/>
      <c r="V30" s="2"/>
      <c r="W30" s="2"/>
      <c r="X30" s="2"/>
      <c r="Y30" s="2"/>
      <c r="Z30" s="2"/>
      <c r="AA30" s="2"/>
      <c r="AB30" s="2">
        <f t="shared" si="0"/>
        <v>2</v>
      </c>
    </row>
    <row r="31" spans="1:28">
      <c r="A31" s="3" t="s">
        <v>144</v>
      </c>
      <c r="B31" s="4" t="s">
        <v>145</v>
      </c>
      <c r="C31" s="4" t="s">
        <v>146</v>
      </c>
      <c r="D31" s="4" t="s">
        <v>147</v>
      </c>
      <c r="E31" s="4"/>
      <c r="F31" s="2"/>
      <c r="G31" s="2"/>
      <c r="H31" s="2"/>
      <c r="I31" s="2"/>
      <c r="J31" s="2"/>
      <c r="K31" s="2"/>
      <c r="L31" s="2"/>
      <c r="M31" s="2"/>
      <c r="N31" s="2">
        <v>1</v>
      </c>
      <c r="O31" s="2"/>
      <c r="P31" s="2"/>
      <c r="Q31" s="2"/>
      <c r="R31" s="2"/>
      <c r="S31" s="2"/>
      <c r="T31" s="2"/>
      <c r="U31" s="2"/>
      <c r="V31" s="2"/>
      <c r="W31" s="2"/>
      <c r="X31" s="2"/>
      <c r="Y31" s="2"/>
      <c r="Z31" s="2"/>
      <c r="AA31" s="2"/>
      <c r="AB31" s="2">
        <f t="shared" si="0"/>
        <v>1</v>
      </c>
    </row>
    <row r="32" spans="1:28">
      <c r="A32" s="3" t="s">
        <v>148</v>
      </c>
      <c r="B32" s="4" t="s">
        <v>149</v>
      </c>
      <c r="C32" s="4" t="s">
        <v>150</v>
      </c>
      <c r="D32" s="4" t="s">
        <v>151</v>
      </c>
      <c r="E32" s="4"/>
      <c r="F32" s="2"/>
      <c r="G32" s="2"/>
      <c r="H32" s="2"/>
      <c r="I32" s="2"/>
      <c r="J32" s="2"/>
      <c r="K32" s="2"/>
      <c r="L32" s="2"/>
      <c r="M32" s="2"/>
      <c r="N32" s="2"/>
      <c r="O32" s="2"/>
      <c r="P32" s="2"/>
      <c r="Q32" s="2"/>
      <c r="R32" s="2">
        <v>1</v>
      </c>
      <c r="S32" s="2"/>
      <c r="T32" s="2"/>
      <c r="U32" s="2"/>
      <c r="V32" s="2"/>
      <c r="W32" s="2"/>
      <c r="X32" s="2"/>
      <c r="Y32" s="2">
        <v>1</v>
      </c>
      <c r="Z32" s="2"/>
      <c r="AA32" s="2"/>
      <c r="AB32" s="2">
        <f t="shared" si="0"/>
        <v>2</v>
      </c>
    </row>
    <row r="33" spans="1:28">
      <c r="A33" s="3" t="s">
        <v>152</v>
      </c>
      <c r="B33" s="4" t="s">
        <v>153</v>
      </c>
      <c r="C33" s="4" t="s">
        <v>154</v>
      </c>
      <c r="D33" s="4" t="s">
        <v>155</v>
      </c>
      <c r="E33" s="4"/>
      <c r="F33" s="2"/>
      <c r="G33" s="2"/>
      <c r="H33" s="2"/>
      <c r="I33" s="2"/>
      <c r="J33" s="2"/>
      <c r="K33" s="2"/>
      <c r="L33" s="2"/>
      <c r="M33" s="2"/>
      <c r="N33" s="2">
        <v>1</v>
      </c>
      <c r="O33" s="2"/>
      <c r="P33" s="2">
        <v>1</v>
      </c>
      <c r="Q33" s="2"/>
      <c r="R33" s="2">
        <v>1</v>
      </c>
      <c r="S33" s="2"/>
      <c r="T33" s="2"/>
      <c r="U33" s="2"/>
      <c r="V33" s="2"/>
      <c r="W33" s="2"/>
      <c r="X33" s="2"/>
      <c r="Y33" s="2"/>
      <c r="Z33" s="2"/>
      <c r="AA33" s="2"/>
      <c r="AB33" s="2">
        <f t="shared" si="0"/>
        <v>3</v>
      </c>
    </row>
    <row r="34" spans="1:28">
      <c r="A34" s="3" t="s">
        <v>156</v>
      </c>
      <c r="B34" s="4" t="s">
        <v>157</v>
      </c>
      <c r="C34" s="4" t="s">
        <v>158</v>
      </c>
      <c r="D34" s="4" t="s">
        <v>159</v>
      </c>
      <c r="E34" s="4"/>
      <c r="F34" s="2"/>
      <c r="G34" s="2">
        <v>1</v>
      </c>
      <c r="H34" s="2"/>
      <c r="I34" s="2"/>
      <c r="J34" s="2"/>
      <c r="K34" s="2"/>
      <c r="L34" s="2"/>
      <c r="M34" s="2"/>
      <c r="N34" s="2"/>
      <c r="O34" s="2"/>
      <c r="P34" s="2">
        <v>1</v>
      </c>
      <c r="Q34" s="2"/>
      <c r="R34" s="2"/>
      <c r="S34" s="2"/>
      <c r="T34" s="2"/>
      <c r="U34" s="2"/>
      <c r="V34" s="2"/>
      <c r="W34" s="2"/>
      <c r="X34" s="2">
        <v>1</v>
      </c>
      <c r="Y34" s="2"/>
      <c r="Z34" s="2"/>
      <c r="AA34" s="2"/>
      <c r="AB34" s="2">
        <f t="shared" si="0"/>
        <v>3</v>
      </c>
    </row>
    <row r="35" spans="1:28">
      <c r="A35" s="3" t="s">
        <v>160</v>
      </c>
      <c r="B35" s="4" t="s">
        <v>161</v>
      </c>
      <c r="C35" s="4" t="s">
        <v>162</v>
      </c>
      <c r="D35" s="4" t="s">
        <v>163</v>
      </c>
      <c r="E35" s="4"/>
      <c r="F35" s="2"/>
      <c r="G35" s="2"/>
      <c r="H35" s="2"/>
      <c r="I35" s="2"/>
      <c r="J35" s="2"/>
      <c r="K35" s="2"/>
      <c r="L35" s="2">
        <v>1</v>
      </c>
      <c r="M35" s="2"/>
      <c r="N35" s="2"/>
      <c r="O35" s="2"/>
      <c r="P35" s="2"/>
      <c r="Q35" s="2"/>
      <c r="R35" s="2"/>
      <c r="S35" s="2"/>
      <c r="T35" s="2"/>
      <c r="U35" s="2"/>
      <c r="V35" s="2"/>
      <c r="W35" s="2"/>
      <c r="X35" s="2">
        <v>1</v>
      </c>
      <c r="Y35" s="2"/>
      <c r="Z35" s="2"/>
      <c r="AA35" s="2"/>
      <c r="AB35" s="2">
        <f t="shared" si="0"/>
        <v>2</v>
      </c>
    </row>
    <row r="36" spans="1:28">
      <c r="A36" s="3" t="s">
        <v>164</v>
      </c>
      <c r="B36" s="4" t="s">
        <v>165</v>
      </c>
      <c r="C36" s="4" t="s">
        <v>166</v>
      </c>
      <c r="D36" s="4" t="s">
        <v>167</v>
      </c>
      <c r="E36" s="4"/>
      <c r="F36" s="2"/>
      <c r="G36" s="2"/>
      <c r="H36" s="2"/>
      <c r="I36" s="2"/>
      <c r="J36" s="2"/>
      <c r="K36" s="2"/>
      <c r="L36" s="2"/>
      <c r="M36" s="2"/>
      <c r="N36" s="2"/>
      <c r="O36" s="2"/>
      <c r="P36" s="2"/>
      <c r="Q36" s="2"/>
      <c r="R36" s="2">
        <v>1</v>
      </c>
      <c r="S36" s="2"/>
      <c r="T36" s="2"/>
      <c r="U36" s="2"/>
      <c r="V36" s="2"/>
      <c r="W36" s="2"/>
      <c r="X36" s="2"/>
      <c r="Y36" s="2"/>
      <c r="Z36" s="2"/>
      <c r="AA36" s="2"/>
      <c r="AB36" s="2">
        <f t="shared" si="0"/>
        <v>1</v>
      </c>
    </row>
    <row r="37" spans="1:28">
      <c r="A37" s="3" t="s">
        <v>168</v>
      </c>
      <c r="B37" s="4" t="s">
        <v>169</v>
      </c>
      <c r="C37" s="4" t="s">
        <v>170</v>
      </c>
      <c r="D37" s="4" t="s">
        <v>171</v>
      </c>
      <c r="E37" s="4"/>
      <c r="F37" s="2"/>
      <c r="G37" s="2"/>
      <c r="H37" s="2"/>
      <c r="I37" s="2"/>
      <c r="J37" s="2"/>
      <c r="K37" s="2"/>
      <c r="L37" s="2"/>
      <c r="M37" s="2"/>
      <c r="N37" s="2">
        <v>1</v>
      </c>
      <c r="O37" s="2"/>
      <c r="P37" s="2">
        <v>1</v>
      </c>
      <c r="Q37" s="2"/>
      <c r="R37" s="2"/>
      <c r="S37" s="2"/>
      <c r="T37" s="2"/>
      <c r="U37" s="2"/>
      <c r="V37" s="2"/>
      <c r="W37" s="2"/>
      <c r="X37" s="2"/>
      <c r="Y37" s="2"/>
      <c r="Z37" s="2"/>
      <c r="AA37" s="2"/>
      <c r="AB37" s="2">
        <f t="shared" si="0"/>
        <v>2</v>
      </c>
    </row>
    <row r="38" spans="1:28">
      <c r="A38" s="3" t="s">
        <v>172</v>
      </c>
      <c r="B38" s="4" t="s">
        <v>173</v>
      </c>
      <c r="C38" s="4" t="s">
        <v>174</v>
      </c>
      <c r="D38" s="4" t="s">
        <v>175</v>
      </c>
      <c r="E38" s="4"/>
      <c r="F38" s="2"/>
      <c r="G38" s="2"/>
      <c r="H38" s="2"/>
      <c r="I38" s="2"/>
      <c r="J38" s="2"/>
      <c r="K38" s="2"/>
      <c r="L38" s="2">
        <v>1</v>
      </c>
      <c r="M38" s="2"/>
      <c r="N38" s="2"/>
      <c r="O38" s="2"/>
      <c r="P38" s="2"/>
      <c r="Q38" s="2"/>
      <c r="R38" s="2"/>
      <c r="S38" s="2"/>
      <c r="T38" s="2"/>
      <c r="U38" s="2"/>
      <c r="V38" s="2"/>
      <c r="W38" s="2"/>
      <c r="X38" s="2"/>
      <c r="Y38" s="2"/>
      <c r="Z38" s="2"/>
      <c r="AA38" s="2"/>
      <c r="AB38" s="2">
        <f t="shared" si="0"/>
        <v>1</v>
      </c>
    </row>
    <row r="39" spans="1:28">
      <c r="A39" s="3" t="s">
        <v>176</v>
      </c>
      <c r="B39" s="4" t="s">
        <v>177</v>
      </c>
      <c r="C39" s="4" t="s">
        <v>178</v>
      </c>
      <c r="D39" s="4" t="s">
        <v>179</v>
      </c>
      <c r="E39" s="4"/>
      <c r="F39" s="2">
        <v>1</v>
      </c>
      <c r="G39" s="2"/>
      <c r="H39" s="2"/>
      <c r="I39" s="2"/>
      <c r="J39" s="2"/>
      <c r="K39" s="2"/>
      <c r="L39" s="2">
        <v>1</v>
      </c>
      <c r="M39" s="2"/>
      <c r="N39" s="2"/>
      <c r="O39" s="2"/>
      <c r="P39" s="2"/>
      <c r="Q39" s="2"/>
      <c r="R39" s="2">
        <v>1</v>
      </c>
      <c r="S39" s="2"/>
      <c r="T39" s="2"/>
      <c r="U39" s="2"/>
      <c r="V39" s="2"/>
      <c r="W39" s="2"/>
      <c r="X39" s="2"/>
      <c r="Y39" s="2"/>
      <c r="Z39" s="2"/>
      <c r="AA39" s="2"/>
      <c r="AB39" s="2">
        <f t="shared" si="0"/>
        <v>3</v>
      </c>
    </row>
    <row r="40" spans="1:28">
      <c r="A40" s="3" t="s">
        <v>180</v>
      </c>
      <c r="B40" s="4" t="s">
        <v>181</v>
      </c>
      <c r="C40" s="4" t="s">
        <v>182</v>
      </c>
      <c r="D40" s="4" t="s">
        <v>183</v>
      </c>
      <c r="E40" s="4"/>
      <c r="F40" s="2"/>
      <c r="G40" s="2"/>
      <c r="H40" s="2"/>
      <c r="I40" s="2"/>
      <c r="J40" s="2"/>
      <c r="K40" s="2"/>
      <c r="L40" s="2">
        <v>1</v>
      </c>
      <c r="M40" s="2"/>
      <c r="N40" s="2"/>
      <c r="O40" s="2"/>
      <c r="P40" s="2"/>
      <c r="Q40" s="2"/>
      <c r="R40" s="2"/>
      <c r="S40" s="2"/>
      <c r="T40" s="2"/>
      <c r="U40" s="2"/>
      <c r="V40" s="2"/>
      <c r="W40" s="2"/>
      <c r="X40" s="2"/>
      <c r="Y40" s="2"/>
      <c r="Z40" s="2"/>
      <c r="AA40" s="2"/>
      <c r="AB40" s="2">
        <f t="shared" si="0"/>
        <v>1</v>
      </c>
    </row>
    <row r="41" spans="1:28">
      <c r="A41" s="3" t="s">
        <v>184</v>
      </c>
      <c r="B41" s="4" t="s">
        <v>185</v>
      </c>
      <c r="C41" s="4" t="s">
        <v>186</v>
      </c>
      <c r="D41" s="4" t="s">
        <v>187</v>
      </c>
      <c r="E41" s="4"/>
      <c r="F41" s="2"/>
      <c r="G41" s="2"/>
      <c r="H41" s="2"/>
      <c r="I41" s="2"/>
      <c r="J41" s="2">
        <v>1</v>
      </c>
      <c r="K41" s="2"/>
      <c r="L41" s="2"/>
      <c r="M41" s="2"/>
      <c r="N41" s="2">
        <v>1</v>
      </c>
      <c r="O41" s="2">
        <v>1</v>
      </c>
      <c r="P41" s="2"/>
      <c r="Q41" s="2"/>
      <c r="R41" s="2"/>
      <c r="S41" s="2"/>
      <c r="T41" s="2"/>
      <c r="U41" s="2"/>
      <c r="V41" s="2"/>
      <c r="W41" s="2"/>
      <c r="X41" s="2"/>
      <c r="Y41" s="2"/>
      <c r="Z41" s="2"/>
      <c r="AA41" s="2"/>
      <c r="AB41" s="2">
        <f t="shared" si="0"/>
        <v>3</v>
      </c>
    </row>
    <row r="42" spans="1:28">
      <c r="A42" s="3" t="s">
        <v>188</v>
      </c>
      <c r="B42" s="4" t="s">
        <v>189</v>
      </c>
      <c r="C42" s="4" t="s">
        <v>190</v>
      </c>
      <c r="D42" s="4" t="s">
        <v>191</v>
      </c>
      <c r="E42" s="4"/>
      <c r="F42" s="2"/>
      <c r="G42" s="2"/>
      <c r="H42" s="2"/>
      <c r="I42" s="2"/>
      <c r="J42" s="2"/>
      <c r="K42" s="2"/>
      <c r="L42" s="2"/>
      <c r="M42" s="2"/>
      <c r="N42" s="2"/>
      <c r="O42" s="2"/>
      <c r="P42" s="2">
        <v>1</v>
      </c>
      <c r="Q42" s="2"/>
      <c r="R42" s="2"/>
      <c r="S42" s="2"/>
      <c r="T42" s="2"/>
      <c r="U42" s="2"/>
      <c r="V42" s="2"/>
      <c r="W42" s="2"/>
      <c r="X42" s="2"/>
      <c r="Y42" s="2"/>
      <c r="Z42" s="2"/>
      <c r="AA42" s="2"/>
      <c r="AB42" s="2">
        <f t="shared" si="0"/>
        <v>1</v>
      </c>
    </row>
    <row r="43" spans="1:28">
      <c r="A43" s="3" t="s">
        <v>192</v>
      </c>
      <c r="B43" s="4" t="s">
        <v>193</v>
      </c>
      <c r="C43" s="4" t="s">
        <v>194</v>
      </c>
      <c r="D43" s="4" t="s">
        <v>195</v>
      </c>
      <c r="E43" s="4"/>
      <c r="F43" s="2"/>
      <c r="G43" s="2"/>
      <c r="H43" s="2">
        <v>1</v>
      </c>
      <c r="I43" s="2"/>
      <c r="J43" s="2"/>
      <c r="K43" s="2"/>
      <c r="L43" s="2"/>
      <c r="M43" s="2"/>
      <c r="N43" s="2"/>
      <c r="O43" s="2"/>
      <c r="P43" s="2"/>
      <c r="Q43" s="2"/>
      <c r="R43" s="2"/>
      <c r="S43" s="2"/>
      <c r="T43" s="2"/>
      <c r="U43" s="2"/>
      <c r="V43" s="2"/>
      <c r="W43" s="2"/>
      <c r="X43" s="2"/>
      <c r="Y43" s="2"/>
      <c r="Z43" s="2"/>
      <c r="AA43" s="2"/>
      <c r="AB43" s="2">
        <f t="shared" si="0"/>
        <v>1</v>
      </c>
    </row>
    <row r="44" spans="1:28">
      <c r="A44" s="3" t="s">
        <v>196</v>
      </c>
      <c r="B44" s="4" t="s">
        <v>197</v>
      </c>
      <c r="C44" s="4" t="s">
        <v>198</v>
      </c>
      <c r="D44" s="4" t="s">
        <v>199</v>
      </c>
      <c r="E44" s="4"/>
      <c r="F44" s="2"/>
      <c r="G44" s="2"/>
      <c r="H44" s="2"/>
      <c r="I44" s="2"/>
      <c r="J44" s="2"/>
      <c r="K44" s="2"/>
      <c r="L44" s="2"/>
      <c r="M44" s="2"/>
      <c r="N44" s="2">
        <v>1</v>
      </c>
      <c r="O44" s="2"/>
      <c r="P44" s="2"/>
      <c r="Q44" s="2"/>
      <c r="R44" s="2"/>
      <c r="S44" s="2"/>
      <c r="T44" s="2"/>
      <c r="U44" s="2"/>
      <c r="V44" s="2"/>
      <c r="W44" s="2"/>
      <c r="X44" s="2"/>
      <c r="Y44" s="2"/>
      <c r="Z44" s="2"/>
      <c r="AA44" s="2"/>
      <c r="AB44" s="2">
        <f t="shared" si="0"/>
        <v>1</v>
      </c>
    </row>
    <row r="45" spans="1:28">
      <c r="A45" s="3" t="s">
        <v>200</v>
      </c>
      <c r="B45" s="4" t="s">
        <v>201</v>
      </c>
      <c r="C45" s="4" t="s">
        <v>202</v>
      </c>
      <c r="D45" s="4" t="s">
        <v>203</v>
      </c>
      <c r="E45" s="4"/>
      <c r="F45" s="2"/>
      <c r="G45" s="2">
        <v>1</v>
      </c>
      <c r="H45" s="2"/>
      <c r="I45" s="2"/>
      <c r="J45" s="2"/>
      <c r="K45" s="2"/>
      <c r="L45" s="2"/>
      <c r="M45" s="2"/>
      <c r="N45" s="2">
        <v>1</v>
      </c>
      <c r="O45" s="2"/>
      <c r="P45" s="2"/>
      <c r="Q45" s="2"/>
      <c r="R45" s="2"/>
      <c r="S45" s="2"/>
      <c r="T45" s="2"/>
      <c r="U45" s="2"/>
      <c r="V45" s="2"/>
      <c r="W45" s="2"/>
      <c r="X45" s="2"/>
      <c r="Y45" s="2"/>
      <c r="Z45" s="2"/>
      <c r="AA45" s="2"/>
      <c r="AB45" s="2">
        <f t="shared" si="0"/>
        <v>2</v>
      </c>
    </row>
    <row r="46" spans="1:28">
      <c r="A46" s="3" t="s">
        <v>204</v>
      </c>
      <c r="B46" s="4" t="s">
        <v>205</v>
      </c>
      <c r="C46" s="4" t="s">
        <v>206</v>
      </c>
      <c r="D46" s="4" t="s">
        <v>207</v>
      </c>
      <c r="E46" s="4"/>
      <c r="F46" s="2"/>
      <c r="G46" s="2"/>
      <c r="H46" s="2"/>
      <c r="I46" s="2">
        <v>1</v>
      </c>
      <c r="J46" s="2"/>
      <c r="K46" s="2"/>
      <c r="L46" s="2"/>
      <c r="M46" s="2"/>
      <c r="N46" s="2"/>
      <c r="O46" s="2"/>
      <c r="P46" s="2"/>
      <c r="Q46" s="2"/>
      <c r="R46" s="2"/>
      <c r="S46" s="2"/>
      <c r="T46" s="2"/>
      <c r="U46" s="2"/>
      <c r="V46" s="2"/>
      <c r="W46" s="2"/>
      <c r="X46" s="2"/>
      <c r="Y46" s="2"/>
      <c r="Z46" s="2"/>
      <c r="AA46" s="2"/>
      <c r="AB46" s="2">
        <f t="shared" si="0"/>
        <v>1</v>
      </c>
    </row>
    <row r="47" spans="1:28">
      <c r="A47" s="3" t="s">
        <v>208</v>
      </c>
      <c r="B47" s="4" t="s">
        <v>209</v>
      </c>
      <c r="C47" s="4" t="s">
        <v>210</v>
      </c>
      <c r="D47" s="4" t="s">
        <v>211</v>
      </c>
      <c r="E47" s="4"/>
      <c r="F47" s="2"/>
      <c r="G47" s="2">
        <v>1</v>
      </c>
      <c r="H47" s="2"/>
      <c r="I47" s="2"/>
      <c r="J47" s="2"/>
      <c r="K47" s="2"/>
      <c r="L47" s="2"/>
      <c r="M47" s="2"/>
      <c r="N47" s="2"/>
      <c r="O47" s="2"/>
      <c r="P47" s="2"/>
      <c r="Q47" s="2"/>
      <c r="R47" s="2"/>
      <c r="S47" s="2"/>
      <c r="T47" s="2"/>
      <c r="U47" s="2"/>
      <c r="V47" s="2"/>
      <c r="W47" s="2"/>
      <c r="X47" s="2"/>
      <c r="Y47" s="2"/>
      <c r="Z47" s="2"/>
      <c r="AA47" s="2"/>
      <c r="AB47" s="2">
        <f t="shared" si="0"/>
        <v>1</v>
      </c>
    </row>
    <row r="48" spans="1:28">
      <c r="A48" s="3" t="s">
        <v>212</v>
      </c>
      <c r="B48" s="4" t="s">
        <v>213</v>
      </c>
      <c r="C48" s="4" t="s">
        <v>214</v>
      </c>
      <c r="D48" s="4" t="s">
        <v>215</v>
      </c>
      <c r="E48" s="4"/>
      <c r="F48" s="2"/>
      <c r="G48" s="2"/>
      <c r="H48" s="2"/>
      <c r="I48" s="2"/>
      <c r="J48" s="2"/>
      <c r="K48" s="2"/>
      <c r="L48" s="2"/>
      <c r="M48" s="2"/>
      <c r="N48" s="2"/>
      <c r="O48" s="2"/>
      <c r="P48" s="2"/>
      <c r="Q48" s="2"/>
      <c r="R48" s="2"/>
      <c r="S48" s="2">
        <v>1</v>
      </c>
      <c r="T48" s="2"/>
      <c r="U48" s="2"/>
      <c r="V48" s="2"/>
      <c r="W48" s="2"/>
      <c r="X48" s="2"/>
      <c r="Y48" s="2"/>
      <c r="Z48" s="2"/>
      <c r="AA48" s="2"/>
      <c r="AB48" s="2">
        <f t="shared" si="0"/>
        <v>1</v>
      </c>
    </row>
    <row r="49" spans="1:28">
      <c r="A49" s="3" t="s">
        <v>216</v>
      </c>
      <c r="B49" s="4" t="s">
        <v>217</v>
      </c>
      <c r="C49" s="4" t="s">
        <v>218</v>
      </c>
      <c r="D49" s="4" t="s">
        <v>219</v>
      </c>
      <c r="E49" s="4"/>
      <c r="F49" s="2"/>
      <c r="G49" s="2"/>
      <c r="H49" s="2"/>
      <c r="I49" s="2"/>
      <c r="J49" s="2"/>
      <c r="K49" s="2"/>
      <c r="L49" s="2"/>
      <c r="M49" s="2"/>
      <c r="N49" s="2"/>
      <c r="O49" s="2">
        <v>1</v>
      </c>
      <c r="P49" s="2"/>
      <c r="Q49" s="2"/>
      <c r="R49" s="2"/>
      <c r="S49" s="2"/>
      <c r="T49" s="2"/>
      <c r="U49" s="2"/>
      <c r="V49" s="2"/>
      <c r="W49" s="2"/>
      <c r="X49" s="2"/>
      <c r="Y49" s="2"/>
      <c r="Z49" s="2"/>
      <c r="AA49" s="2"/>
      <c r="AB49" s="2">
        <f t="shared" si="0"/>
        <v>1</v>
      </c>
    </row>
    <row r="50" spans="1:28">
      <c r="A50" s="6" t="s">
        <v>220</v>
      </c>
      <c r="B50" s="4" t="s">
        <v>221</v>
      </c>
      <c r="C50" s="4" t="s">
        <v>222</v>
      </c>
      <c r="D50" s="4" t="s">
        <v>223</v>
      </c>
      <c r="E50" s="4"/>
      <c r="F50" s="2"/>
      <c r="G50" s="2">
        <v>1</v>
      </c>
      <c r="H50" s="2"/>
      <c r="I50" s="2"/>
      <c r="J50" s="2"/>
      <c r="K50" s="2"/>
      <c r="L50" s="2">
        <v>1</v>
      </c>
      <c r="M50" s="2"/>
      <c r="N50" s="2"/>
      <c r="O50" s="2"/>
      <c r="P50" s="2"/>
      <c r="Q50" s="2"/>
      <c r="R50" s="2"/>
      <c r="S50" s="2"/>
      <c r="T50" s="2"/>
      <c r="U50" s="2"/>
      <c r="V50" s="2"/>
      <c r="W50" s="2"/>
      <c r="X50" s="2"/>
      <c r="Y50" s="2"/>
      <c r="Z50" s="2"/>
      <c r="AA50" s="2"/>
      <c r="AB50" s="2">
        <f t="shared" si="0"/>
        <v>2</v>
      </c>
    </row>
    <row r="51" spans="1:28">
      <c r="A51" s="2"/>
      <c r="B51" s="2"/>
      <c r="C51" s="2"/>
      <c r="D51" s="2"/>
      <c r="E51" s="9" t="s">
        <v>224</v>
      </c>
      <c r="F51" s="2">
        <f t="shared" ref="F51:AA51" si="1">SUM(F2:F50)</f>
        <v>4</v>
      </c>
      <c r="G51" s="2">
        <f t="shared" si="1"/>
        <v>5</v>
      </c>
      <c r="H51" s="2">
        <f t="shared" si="1"/>
        <v>6</v>
      </c>
      <c r="I51" s="2">
        <f t="shared" si="1"/>
        <v>2</v>
      </c>
      <c r="J51" s="2">
        <f t="shared" si="1"/>
        <v>4</v>
      </c>
      <c r="K51" s="2">
        <f t="shared" si="1"/>
        <v>3</v>
      </c>
      <c r="L51" s="2">
        <f t="shared" si="1"/>
        <v>10</v>
      </c>
      <c r="M51" s="2">
        <f t="shared" si="1"/>
        <v>3</v>
      </c>
      <c r="N51" s="2">
        <f t="shared" si="1"/>
        <v>12</v>
      </c>
      <c r="O51" s="2">
        <f t="shared" si="1"/>
        <v>5</v>
      </c>
      <c r="P51" s="2">
        <f t="shared" si="1"/>
        <v>4</v>
      </c>
      <c r="Q51" s="2">
        <f t="shared" si="1"/>
        <v>2</v>
      </c>
      <c r="R51" s="2">
        <f t="shared" si="1"/>
        <v>7</v>
      </c>
      <c r="S51" s="2">
        <f t="shared" si="1"/>
        <v>1</v>
      </c>
      <c r="T51" s="2">
        <f t="shared" si="1"/>
        <v>2</v>
      </c>
      <c r="U51" s="2">
        <f t="shared" si="1"/>
        <v>1</v>
      </c>
      <c r="V51" s="2">
        <f t="shared" si="1"/>
        <v>2</v>
      </c>
      <c r="W51" s="2">
        <f t="shared" si="1"/>
        <v>1</v>
      </c>
      <c r="X51" s="2">
        <f t="shared" si="1"/>
        <v>5</v>
      </c>
      <c r="Y51" s="2">
        <f t="shared" si="1"/>
        <v>4</v>
      </c>
      <c r="Z51" s="2">
        <f t="shared" si="1"/>
        <v>0</v>
      </c>
      <c r="AA51" s="2">
        <f t="shared" si="1"/>
        <v>0</v>
      </c>
      <c r="AB51" s="2"/>
    </row>
  </sheetData>
  <mergeCells count="1">
    <mergeCell ref="E2:E9"/>
  </mergeCells>
  <pageMargins left="0.75" right="0.75" top="1" bottom="1" header="0.5" footer="0.5"/>
  <headerFooter/>
  <ignoredErrors>
    <ignoredError sqref="D2:D11 C38:D50 D28:D37 C25:D27 B11 A2:B10 B13 D13:D24 B50 A14:B49"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EW</cp:lastModifiedBy>
  <dcterms:created xsi:type="dcterms:W3CDTF">2025-01-24T10:49:00Z</dcterms:created>
  <dcterms:modified xsi:type="dcterms:W3CDTF">2026-10-15T16:12:50Z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54273FFF4E164A5E8B9FE95B0A378CCD_12</vt:lpwstr>
  </property>
  <property fmtid="{D5CDD505-2E9C-101B-9397-08002B2CF9AE}" pid="3" name="KSOProductBuildVer">
    <vt:lpwstr>2052-7.5.1.8994</vt:lpwstr>
  </property>
</Properties>
</file>